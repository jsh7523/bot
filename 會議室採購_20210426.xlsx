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jsh\project\會議室設備採購\"/>
    </mc:Choice>
  </mc:AlternateContent>
  <bookViews>
    <workbookView xWindow="0" yWindow="0" windowWidth="38400" windowHeight="17790" activeTab="3"/>
  </bookViews>
  <sheets>
    <sheet name="需求說明" sheetId="2" r:id="rId1"/>
    <sheet name="採購明細0423" sheetId="1" state="hidden" r:id="rId2"/>
    <sheet name="採購明細0426" sheetId="3" state="hidden" r:id="rId3"/>
    <sheet name="採購明細0510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4" l="1"/>
  <c r="N22" i="4" l="1"/>
  <c r="N23" i="4" s="1"/>
  <c r="N12" i="4"/>
  <c r="I23" i="4"/>
  <c r="L9" i="4"/>
  <c r="L12" i="4"/>
  <c r="I22" i="4" l="1"/>
  <c r="I20" i="4"/>
  <c r="L22" i="4"/>
  <c r="L23" i="4" s="1"/>
  <c r="L20" i="4"/>
  <c r="M9" i="4"/>
  <c r="M10" i="4"/>
  <c r="M3" i="4"/>
  <c r="M4" i="4"/>
  <c r="M5" i="4"/>
  <c r="M6" i="4"/>
  <c r="M7" i="4"/>
  <c r="M8" i="4"/>
  <c r="M11" i="4"/>
  <c r="M12" i="4"/>
  <c r="M13" i="4"/>
  <c r="M14" i="4"/>
  <c r="M15" i="4"/>
  <c r="M16" i="4"/>
  <c r="M17" i="4"/>
  <c r="M18" i="4"/>
  <c r="M19" i="4"/>
  <c r="M21" i="4"/>
  <c r="M2" i="4"/>
  <c r="M20" i="4" l="1"/>
  <c r="M22" i="4"/>
  <c r="M20" i="3"/>
  <c r="J24" i="3"/>
  <c r="L23" i="3"/>
  <c r="M23" i="3" s="1"/>
  <c r="M22" i="3"/>
  <c r="M21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L24" i="3" l="1"/>
  <c r="M24" i="3" s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9" i="1"/>
  <c r="L36" i="1"/>
  <c r="L37" i="1" s="1"/>
  <c r="L17" i="1"/>
  <c r="J37" i="1"/>
  <c r="J8" i="1"/>
</calcChain>
</file>

<file path=xl/sharedStrings.xml><?xml version="1.0" encoding="utf-8"?>
<sst xmlns="http://schemas.openxmlformats.org/spreadsheetml/2006/main" count="436" uniqueCount="143">
  <si>
    <t>項目</t>
    <phoneticPr fontId="1" type="noConversion"/>
  </si>
  <si>
    <t>投影機</t>
    <phoneticPr fontId="1" type="noConversion"/>
  </si>
  <si>
    <t>移動音響</t>
    <phoneticPr fontId="1" type="noConversion"/>
  </si>
  <si>
    <t>電子白板</t>
    <phoneticPr fontId="1" type="noConversion"/>
  </si>
  <si>
    <t>數量</t>
    <phoneticPr fontId="1" type="noConversion"/>
  </si>
  <si>
    <t>採購模式</t>
    <phoneticPr fontId="1" type="noConversion"/>
  </si>
  <si>
    <t>共同供應契約</t>
    <phoneticPr fontId="1" type="noConversion"/>
  </si>
  <si>
    <t>會議室麥克風主機</t>
    <phoneticPr fontId="1" type="noConversion"/>
  </si>
  <si>
    <t>會議室麥克風</t>
    <phoneticPr fontId="1" type="noConversion"/>
  </si>
  <si>
    <t>數位混音器</t>
    <phoneticPr fontId="1" type="noConversion"/>
  </si>
  <si>
    <t>擴大器</t>
    <phoneticPr fontId="1" type="noConversion"/>
  </si>
  <si>
    <t>崁頂喇叭</t>
    <phoneticPr fontId="1" type="noConversion"/>
  </si>
  <si>
    <t>視訊鏡頭</t>
    <phoneticPr fontId="1" type="noConversion"/>
  </si>
  <si>
    <t>影音延伸器</t>
    <phoneticPr fontId="1" type="noConversion"/>
  </si>
  <si>
    <t>既有裝置非本次採購範圍，EPSON EB-2247U</t>
    <phoneticPr fontId="1" type="noConversion"/>
  </si>
  <si>
    <t>電視</t>
    <phoneticPr fontId="1" type="noConversion"/>
  </si>
  <si>
    <t>備註</t>
    <phoneticPr fontId="1" type="noConversion"/>
  </si>
  <si>
    <t>研討區</t>
    <phoneticPr fontId="1" type="noConversion"/>
  </si>
  <si>
    <t>會議室</t>
    <phoneticPr fontId="1" type="noConversion"/>
  </si>
  <si>
    <t>會議室，投影機</t>
    <phoneticPr fontId="1" type="noConversion"/>
  </si>
  <si>
    <t>會議室，電視</t>
    <phoneticPr fontId="1" type="noConversion"/>
  </si>
  <si>
    <t>安裝服務(含佈線服務、施工人力及保險等)</t>
    <phoneticPr fontId="1" type="noConversion"/>
  </si>
  <si>
    <t>會議室，視訊鏡頭</t>
    <phoneticPr fontId="1" type="noConversion"/>
  </si>
  <si>
    <t>矩陣切換器</t>
    <phoneticPr fontId="1" type="noConversion"/>
  </si>
  <si>
    <t>多媒體面板</t>
    <phoneticPr fontId="1" type="noConversion"/>
  </si>
  <si>
    <t>無線簡報器</t>
    <phoneticPr fontId="1" type="noConversion"/>
  </si>
  <si>
    <t>電話會議主機</t>
    <phoneticPr fontId="1" type="noConversion"/>
  </si>
  <si>
    <t>廠商A建議型號</t>
    <phoneticPr fontId="1" type="noConversion"/>
  </si>
  <si>
    <t>廠商B建議型號</t>
    <phoneticPr fontId="1" type="noConversion"/>
  </si>
  <si>
    <t>廠商A建議價格</t>
    <phoneticPr fontId="1" type="noConversion"/>
  </si>
  <si>
    <t>廠商B建議價格</t>
    <phoneticPr fontId="1" type="noConversion"/>
  </si>
  <si>
    <t>小計</t>
    <phoneticPr fontId="1" type="noConversion"/>
  </si>
  <si>
    <t>總計</t>
    <phoneticPr fontId="1" type="noConversion"/>
  </si>
  <si>
    <t>Maxell MC-AW3506</t>
    <phoneticPr fontId="1" type="noConversion"/>
  </si>
  <si>
    <t>無線影音投影棒</t>
    <phoneticPr fontId="1" type="noConversion"/>
  </si>
  <si>
    <t>120吋電動布幕(第五組第5項)</t>
    <phoneticPr fontId="1" type="noConversion"/>
  </si>
  <si>
    <t>超短焦投影機</t>
    <phoneticPr fontId="1" type="noConversion"/>
  </si>
  <si>
    <t>超短焦投影機(第三組第7項)</t>
    <phoneticPr fontId="1" type="noConversion"/>
  </si>
  <si>
    <t>會議室、研討區</t>
    <phoneticPr fontId="1" type="noConversion"/>
  </si>
  <si>
    <t>編號</t>
    <phoneticPr fontId="1" type="noConversion"/>
  </si>
  <si>
    <t>既有裝置非本次採購範圍，CHIMEI TL-65M300</t>
    <phoneticPr fontId="1" type="noConversion"/>
  </si>
  <si>
    <t>超短焦特殊壁掛架及電動布幕吊架</t>
    <phoneticPr fontId="1" type="noConversion"/>
  </si>
  <si>
    <t>配線及器材安裝施工</t>
    <phoneticPr fontId="1" type="noConversion"/>
  </si>
  <si>
    <t>預算確認單位</t>
    <phoneticPr fontId="1" type="noConversion"/>
  </si>
  <si>
    <t>總務處</t>
    <phoneticPr fontId="1" type="noConversion"/>
  </si>
  <si>
    <t>不動產</t>
    <phoneticPr fontId="1" type="noConversion"/>
  </si>
  <si>
    <t>待評估</t>
    <phoneticPr fontId="1" type="noConversion"/>
  </si>
  <si>
    <t>EZCast PROII</t>
    <phoneticPr fontId="1" type="noConversion"/>
  </si>
  <si>
    <t>位置</t>
    <phoneticPr fontId="1" type="noConversion"/>
  </si>
  <si>
    <t>位置，連結設備</t>
    <phoneticPr fontId="1" type="noConversion"/>
  </si>
  <si>
    <t>SUPER-SEIMON ES-0608</t>
    <phoneticPr fontId="1" type="noConversion"/>
  </si>
  <si>
    <t>含HDMI線及插座面板</t>
    <phoneticPr fontId="1" type="noConversion"/>
  </si>
  <si>
    <t>投影機吊架</t>
    <phoneticPr fontId="1" type="noConversion"/>
  </si>
  <si>
    <t>會議系統快速連接線</t>
    <phoneticPr fontId="1" type="noConversion"/>
  </si>
  <si>
    <t>麥克風設備安裝服務</t>
    <phoneticPr fontId="1" type="noConversion"/>
  </si>
  <si>
    <t>類別</t>
    <phoneticPr fontId="1" type="noConversion"/>
  </si>
  <si>
    <t>投影</t>
    <phoneticPr fontId="1" type="noConversion"/>
  </si>
  <si>
    <t>麥克風</t>
    <phoneticPr fontId="1" type="noConversion"/>
  </si>
  <si>
    <t>音響</t>
    <phoneticPr fontId="1" type="noConversion"/>
  </si>
  <si>
    <t>視訊</t>
    <phoneticPr fontId="1" type="noConversion"/>
  </si>
  <si>
    <t>整合</t>
    <phoneticPr fontId="1" type="noConversion"/>
  </si>
  <si>
    <t>電話會議</t>
    <phoneticPr fontId="1" type="noConversion"/>
  </si>
  <si>
    <t>電源時序控制器</t>
    <phoneticPr fontId="1" type="noConversion"/>
  </si>
  <si>
    <t>線材、五金零料配件</t>
    <phoneticPr fontId="1" type="noConversion"/>
  </si>
  <si>
    <t>設備安裝</t>
    <phoneticPr fontId="1" type="noConversion"/>
  </si>
  <si>
    <t>攝影機訊號延伸器</t>
    <phoneticPr fontId="1" type="noConversion"/>
  </si>
  <si>
    <t>HDMI訊號延伸器</t>
    <phoneticPr fontId="1" type="noConversion"/>
  </si>
  <si>
    <t>機櫃</t>
    <phoneticPr fontId="1" type="noConversion"/>
  </si>
  <si>
    <t>Avaya B149</t>
    <phoneticPr fontId="1" type="noConversion"/>
  </si>
  <si>
    <t>BXB FUN-6313、6314</t>
    <phoneticPr fontId="1" type="noConversion"/>
  </si>
  <si>
    <t>BXB FCS-6350</t>
    <phoneticPr fontId="1" type="noConversion"/>
  </si>
  <si>
    <t>BXB</t>
    <phoneticPr fontId="1" type="noConversion"/>
  </si>
  <si>
    <t>EX. SYS M1604</t>
    <phoneticPr fontId="1" type="noConversion"/>
  </si>
  <si>
    <t>EX. SYS D-8.2</t>
    <phoneticPr fontId="1" type="noConversion"/>
  </si>
  <si>
    <t>DAS CL-8T</t>
    <phoneticPr fontId="1" type="noConversion"/>
  </si>
  <si>
    <t>EX. SYS IPS8300</t>
    <phoneticPr fontId="1" type="noConversion"/>
  </si>
  <si>
    <t>Lumens VC-B30U</t>
    <phoneticPr fontId="1" type="noConversion"/>
  </si>
  <si>
    <t>HANXIN</t>
    <phoneticPr fontId="1" type="noConversion"/>
  </si>
  <si>
    <t>HANXIN HX-HS102A</t>
    <phoneticPr fontId="1" type="noConversion"/>
  </si>
  <si>
    <t>QuattroPod Mini</t>
    <phoneticPr fontId="1" type="noConversion"/>
  </si>
  <si>
    <t>Panasonic HE40</t>
    <phoneticPr fontId="1" type="noConversion"/>
  </si>
  <si>
    <t>Kramer VS-44H2A</t>
    <phoneticPr fontId="1" type="noConversion"/>
  </si>
  <si>
    <t>Kramer PT571&amp;PT572+</t>
    <phoneticPr fontId="1" type="noConversion"/>
  </si>
  <si>
    <t>HDMI轉USB影像專用擷取卡</t>
    <phoneticPr fontId="1" type="noConversion"/>
  </si>
  <si>
    <t>Datavideo CAP-2</t>
    <phoneticPr fontId="1" type="noConversion"/>
  </si>
  <si>
    <t>灃禾 WM218H</t>
    <phoneticPr fontId="1" type="noConversion"/>
  </si>
  <si>
    <t>Bosch</t>
    <phoneticPr fontId="1" type="noConversion"/>
  </si>
  <si>
    <t>鐵三角 ATDM-0604</t>
    <phoneticPr fontId="1" type="noConversion"/>
  </si>
  <si>
    <t>BOSE IZA 2120-LZ</t>
    <phoneticPr fontId="1" type="noConversion"/>
  </si>
  <si>
    <t>Kramer GALIL-6-CO</t>
    <phoneticPr fontId="1" type="noConversion"/>
  </si>
  <si>
    <t>電視天吊架</t>
    <phoneticPr fontId="1" type="noConversion"/>
  </si>
  <si>
    <t>公開招標</t>
    <phoneticPr fontId="1" type="noConversion"/>
  </si>
  <si>
    <t>120吋電動布幕</t>
    <phoneticPr fontId="1" type="noConversion"/>
  </si>
  <si>
    <t>規劃說明</t>
    <phoneticPr fontId="1" type="noConversion"/>
  </si>
  <si>
    <t>廠商建議</t>
    <phoneticPr fontId="1" type="noConversion"/>
  </si>
  <si>
    <t>移機</t>
    <phoneticPr fontId="1" type="noConversion"/>
  </si>
  <si>
    <t>投影&amp;投影幕</t>
    <phoneticPr fontId="1" type="noConversion"/>
  </si>
  <si>
    <t>移機&amp;天吊裝設</t>
    <phoneticPr fontId="1" type="noConversion"/>
  </si>
  <si>
    <t>HDMI切換器</t>
    <phoneticPr fontId="1" type="noConversion"/>
  </si>
  <si>
    <t>一桌一席並規劃一個主席麥克風，共11席</t>
    <phoneticPr fontId="1" type="noConversion"/>
  </si>
  <si>
    <t>後續擴充性問題，建議一次購足一桌兩席，共22席。</t>
    <phoneticPr fontId="1" type="noConversion"/>
  </si>
  <si>
    <t>拍攝主席桌，可連結行內筆電進行行內視訊會議</t>
    <phoneticPr fontId="1" type="noConversion"/>
  </si>
  <si>
    <t>連結麥克風設定，可自動追蹤麥克風位置進行拍攝</t>
    <phoneticPr fontId="1" type="noConversion"/>
  </si>
  <si>
    <t>可透過無線連線，直接連結投影及電視進行簡報</t>
    <phoneticPr fontId="1" type="noConversion"/>
  </si>
  <si>
    <t>裝置放置於主席桌旁，可多方通話使用</t>
    <phoneticPr fontId="1" type="noConversion"/>
  </si>
  <si>
    <t>連結麥克風及音響設定，可使用麥克風進行電話會議</t>
    <phoneticPr fontId="1" type="noConversion"/>
  </si>
  <si>
    <t>可同步電視及投影機畫面，價格約1-2萬。</t>
    <phoneticPr fontId="1" type="noConversion"/>
  </si>
  <si>
    <t>移動音響(x)</t>
    <phoneticPr fontId="1" type="noConversion"/>
  </si>
  <si>
    <t>矩陣切換器(x)，可同步所有會議室影像設備，價格約10萬</t>
    <phoneticPr fontId="1" type="noConversion"/>
  </si>
  <si>
    <t>麥克風(x)</t>
    <phoneticPr fontId="1" type="noConversion"/>
  </si>
  <si>
    <t>視訊設備(x)</t>
    <phoneticPr fontId="1" type="noConversion"/>
  </si>
  <si>
    <t>無線簡報器(x)</t>
    <phoneticPr fontId="1" type="noConversion"/>
  </si>
  <si>
    <t>gap</t>
    <phoneticPr fontId="1" type="noConversion"/>
  </si>
  <si>
    <t>HDMI分配器</t>
    <phoneticPr fontId="1" type="noConversion"/>
  </si>
  <si>
    <t>規劃說明0423</t>
    <phoneticPr fontId="1" type="noConversion"/>
  </si>
  <si>
    <t>取消</t>
    <phoneticPr fontId="1" type="noConversion"/>
  </si>
  <si>
    <t>裝置放置於主席桌旁，可多方通話使用，需可移動</t>
    <phoneticPr fontId="1" type="noConversion"/>
  </si>
  <si>
    <t>可透過hdmi線連結電腦同步顯示電視及投影機畫面</t>
    <phoneticPr fontId="1" type="noConversion"/>
  </si>
  <si>
    <t>EPSON EB-L200SW</t>
    <phoneticPr fontId="1" type="noConversion"/>
  </si>
  <si>
    <t>SUPER-SEIMON</t>
    <phoneticPr fontId="1" type="noConversion"/>
  </si>
  <si>
    <t>HANXIN AH-102</t>
    <phoneticPr fontId="1" type="noConversion"/>
  </si>
  <si>
    <t>HANXIN EH-070</t>
    <phoneticPr fontId="1" type="noConversion"/>
  </si>
  <si>
    <t>廠商A建議數量</t>
    <phoneticPr fontId="1" type="noConversion"/>
  </si>
  <si>
    <t>廠商B建議數量</t>
    <phoneticPr fontId="1" type="noConversion"/>
  </si>
  <si>
    <t>既有設備拆移</t>
    <phoneticPr fontId="1" type="noConversion"/>
  </si>
  <si>
    <t>攜帶型投影機</t>
    <phoneticPr fontId="1" type="noConversion"/>
  </si>
  <si>
    <t>EPSON EB-1780W</t>
    <phoneticPr fontId="1" type="noConversion"/>
  </si>
  <si>
    <t>EPSON EB-L200SX</t>
    <phoneticPr fontId="1" type="noConversion"/>
  </si>
  <si>
    <t>UNICO AH-120</t>
    <phoneticPr fontId="1" type="noConversion"/>
  </si>
  <si>
    <t>自動選擇器</t>
    <phoneticPr fontId="1" type="noConversion"/>
  </si>
  <si>
    <t>影音分離器</t>
    <phoneticPr fontId="1" type="noConversion"/>
  </si>
  <si>
    <t>Kramer DIP-31</t>
    <phoneticPr fontId="1" type="noConversion"/>
  </si>
  <si>
    <t>HANXIN HX-HDCA03</t>
    <phoneticPr fontId="1" type="noConversion"/>
  </si>
  <si>
    <t>含機櫃</t>
    <phoneticPr fontId="1" type="noConversion"/>
  </si>
  <si>
    <t>HANXIN AH-104CT</t>
    <phoneticPr fontId="1" type="noConversion"/>
  </si>
  <si>
    <t>TP-580T&amp;TP-580R</t>
    <phoneticPr fontId="1" type="noConversion"/>
  </si>
  <si>
    <t>Avaya B159</t>
    <phoneticPr fontId="1" type="noConversion"/>
  </si>
  <si>
    <t>非本次採購項目</t>
    <phoneticPr fontId="1" type="noConversion"/>
  </si>
  <si>
    <t>價差較大</t>
    <phoneticPr fontId="1" type="noConversion"/>
  </si>
  <si>
    <t>採共同項目</t>
    <phoneticPr fontId="1" type="noConversion"/>
  </si>
  <si>
    <t>Persona KTA-PLUS</t>
    <phoneticPr fontId="1" type="noConversion"/>
  </si>
  <si>
    <t>電子白板(含電視移動架)</t>
    <phoneticPr fontId="1" type="noConversion"/>
  </si>
  <si>
    <t>總計(含稅)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</si>
</sst>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76" formatCode="_-* #,##0_-;\-* #,##0_-;_-* &quot;-&quot;??_-;_-@_-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2" borderId="0" xfId="0" applyFill="1">
      <alignment vertical="center"/>
    </xf>
    <xf numFmtId="176" fontId="2" fillId="2" borderId="1" xfId="1" applyNumberFormat="1" applyFont="1" applyFill="1" applyBorder="1">
      <alignment vertical="center"/>
    </xf>
    <xf numFmtId="176" fontId="2" fillId="0" borderId="1" xfId="1" applyNumberFormat="1" applyFont="1" applyBorder="1">
      <alignment vertical="center"/>
    </xf>
    <xf numFmtId="176" fontId="0" fillId="0" borderId="0" xfId="1" applyNumberFormat="1" applyFont="1">
      <alignment vertical="center"/>
    </xf>
    <xf numFmtId="176" fontId="2" fillId="3" borderId="1" xfId="1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176" fontId="2" fillId="4" borderId="1" xfId="1" applyNumberFormat="1" applyFont="1" applyFill="1" applyBorder="1">
      <alignment vertical="center"/>
    </xf>
    <xf numFmtId="176" fontId="0" fillId="2" borderId="0" xfId="1" applyNumberFormat="1" applyFont="1" applyFill="1">
      <alignment vertical="center"/>
    </xf>
    <xf numFmtId="0" fontId="2" fillId="5" borderId="1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2" fillId="0" borderId="3" xfId="0" applyFont="1" applyBorder="1">
      <alignment vertical="center"/>
    </xf>
    <xf numFmtId="0" fontId="0" fillId="3" borderId="3" xfId="0" applyFill="1" applyBorder="1">
      <alignment vertical="center"/>
    </xf>
    <xf numFmtId="0" fontId="0" fillId="5" borderId="3" xfId="0" applyFill="1" applyBorder="1">
      <alignment vertical="center"/>
    </xf>
    <xf numFmtId="0" fontId="2" fillId="0" borderId="1" xfId="0" applyFont="1" applyFill="1" applyBorder="1">
      <alignment vertical="center"/>
    </xf>
    <xf numFmtId="176" fontId="2" fillId="0" borderId="1" xfId="1" applyNumberFormat="1" applyFont="1" applyFill="1" applyBorder="1">
      <alignment vertical="center"/>
    </xf>
    <xf numFmtId="0" fontId="0" fillId="0" borderId="0" xfId="0" applyFill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8</xdr:col>
          <xdr:colOff>1212022</xdr:colOff>
          <xdr:row>51</xdr:row>
          <xdr:rowOff>209826</xdr:rowOff>
        </xdr:to>
        <xdr:pic>
          <xdr:nvPicPr>
            <xdr:cNvPr id="3" name="圖片 2"/>
            <xdr:cNvPicPr>
              <a:picLocks noChangeAspect="1" noChangeArrowheads="1"/>
              <a:extLst>
                <a:ext uri="{84589F7E-364E-4C9E-8A38-B11213B215E9}">
                  <a14:cameraTool cellRange="需求說明!$A$1:$E$11" spid="_x0000_s11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8851900"/>
              <a:ext cx="13848522" cy="236882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19050</xdr:rowOff>
        </xdr:from>
        <xdr:to>
          <xdr:col>9</xdr:col>
          <xdr:colOff>1072322</xdr:colOff>
          <xdr:row>38</xdr:row>
          <xdr:rowOff>12976</xdr:rowOff>
        </xdr:to>
        <xdr:pic>
          <xdr:nvPicPr>
            <xdr:cNvPr id="2" name="圖片 1"/>
            <xdr:cNvPicPr>
              <a:picLocks noChangeAspect="1" noChangeArrowheads="1"/>
              <a:extLst>
                <a:ext uri="{84589F7E-364E-4C9E-8A38-B11213B215E9}">
                  <a14:cameraTool cellRange="需求說明!$A$1:$E$11" spid="_x0000_s21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6064250"/>
              <a:ext cx="13848522" cy="236882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19050</xdr:rowOff>
        </xdr:from>
        <xdr:to>
          <xdr:col>9</xdr:col>
          <xdr:colOff>1713672</xdr:colOff>
          <xdr:row>35</xdr:row>
          <xdr:rowOff>12976</xdr:rowOff>
        </xdr:to>
        <xdr:pic>
          <xdr:nvPicPr>
            <xdr:cNvPr id="2" name="圖片 1"/>
            <xdr:cNvPicPr>
              <a:picLocks noChangeAspect="1" noChangeArrowheads="1"/>
              <a:extLst>
                <a:ext uri="{84589F7E-364E-4C9E-8A38-B11213B215E9}">
                  <a14:cameraTool cellRange="需求說明!$A$1:$E$11" spid="_x0000_s31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5848350"/>
              <a:ext cx="13848522" cy="236882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zoomScale="115" zoomScaleNormal="115" workbookViewId="0">
      <selection activeCell="E11" sqref="A1:E11"/>
    </sheetView>
  </sheetViews>
  <sheetFormatPr defaultRowHeight="17" x14ac:dyDescent="0.4"/>
  <cols>
    <col min="1" max="1" width="8" bestFit="1" customWidth="1"/>
    <col min="2" max="2" width="29.6328125" bestFit="1" customWidth="1"/>
    <col min="3" max="3" width="50.26953125" bestFit="1" customWidth="1"/>
    <col min="4" max="4" width="52.6328125" bestFit="1" customWidth="1"/>
    <col min="5" max="5" width="57.7265625" bestFit="1" customWidth="1"/>
  </cols>
  <sheetData>
    <row r="1" spans="1:5" x14ac:dyDescent="0.4">
      <c r="A1" s="3" t="s">
        <v>48</v>
      </c>
      <c r="B1" s="3" t="s">
        <v>0</v>
      </c>
      <c r="C1" s="3" t="s">
        <v>93</v>
      </c>
      <c r="D1" s="3" t="s">
        <v>114</v>
      </c>
      <c r="E1" s="3" t="s">
        <v>94</v>
      </c>
    </row>
    <row r="2" spans="1:5" x14ac:dyDescent="0.4">
      <c r="A2" s="1" t="s">
        <v>17</v>
      </c>
      <c r="B2" s="1" t="s">
        <v>36</v>
      </c>
      <c r="C2" s="1"/>
      <c r="D2" s="1"/>
      <c r="E2" s="1"/>
    </row>
    <row r="3" spans="1:5" x14ac:dyDescent="0.4">
      <c r="A3" s="1"/>
      <c r="B3" s="1" t="s">
        <v>92</v>
      </c>
      <c r="C3" s="1"/>
      <c r="D3" s="1"/>
      <c r="E3" s="1"/>
    </row>
    <row r="4" spans="1:5" x14ac:dyDescent="0.4">
      <c r="A4" s="1"/>
      <c r="B4" s="1" t="s">
        <v>107</v>
      </c>
      <c r="C4" s="1"/>
      <c r="D4" s="1" t="s">
        <v>115</v>
      </c>
      <c r="E4" s="1"/>
    </row>
    <row r="5" spans="1:5" x14ac:dyDescent="0.4">
      <c r="A5" s="1" t="s">
        <v>18</v>
      </c>
      <c r="B5" s="1" t="s">
        <v>96</v>
      </c>
      <c r="C5" s="1" t="s">
        <v>95</v>
      </c>
      <c r="D5" s="1"/>
      <c r="E5" s="1"/>
    </row>
    <row r="6" spans="1:5" x14ac:dyDescent="0.4">
      <c r="A6" s="1"/>
      <c r="B6" s="1" t="s">
        <v>15</v>
      </c>
      <c r="C6" s="1" t="s">
        <v>97</v>
      </c>
      <c r="D6" s="1"/>
      <c r="E6" s="1"/>
    </row>
    <row r="7" spans="1:5" x14ac:dyDescent="0.4">
      <c r="A7" s="1"/>
      <c r="B7" s="1" t="s">
        <v>98</v>
      </c>
      <c r="C7" s="1" t="s">
        <v>106</v>
      </c>
      <c r="D7" s="1" t="s">
        <v>117</v>
      </c>
      <c r="E7" s="1" t="s">
        <v>108</v>
      </c>
    </row>
    <row r="8" spans="1:5" x14ac:dyDescent="0.4">
      <c r="A8" s="1"/>
      <c r="B8" s="1" t="s">
        <v>109</v>
      </c>
      <c r="C8" s="1" t="s">
        <v>99</v>
      </c>
      <c r="D8" s="1" t="s">
        <v>115</v>
      </c>
      <c r="E8" s="1" t="s">
        <v>100</v>
      </c>
    </row>
    <row r="9" spans="1:5" x14ac:dyDescent="0.4">
      <c r="A9" s="1"/>
      <c r="B9" s="1" t="s">
        <v>110</v>
      </c>
      <c r="C9" s="1" t="s">
        <v>101</v>
      </c>
      <c r="D9" s="1" t="s">
        <v>115</v>
      </c>
      <c r="E9" s="1" t="s">
        <v>102</v>
      </c>
    </row>
    <row r="10" spans="1:5" x14ac:dyDescent="0.4">
      <c r="A10" s="1"/>
      <c r="B10" s="1" t="s">
        <v>61</v>
      </c>
      <c r="C10" s="1" t="s">
        <v>104</v>
      </c>
      <c r="D10" s="1" t="s">
        <v>116</v>
      </c>
      <c r="E10" s="1" t="s">
        <v>105</v>
      </c>
    </row>
    <row r="11" spans="1:5" x14ac:dyDescent="0.4">
      <c r="A11" s="1"/>
      <c r="B11" s="1" t="s">
        <v>111</v>
      </c>
      <c r="C11" s="1"/>
      <c r="D11" s="1" t="s">
        <v>115</v>
      </c>
      <c r="E11" s="1" t="s">
        <v>103</v>
      </c>
    </row>
    <row r="12" spans="1:5" x14ac:dyDescent="0.4">
      <c r="A12" s="1"/>
      <c r="B12" s="1"/>
      <c r="C12" s="1"/>
      <c r="D12" s="1"/>
      <c r="E12" s="1"/>
    </row>
    <row r="13" spans="1:5" x14ac:dyDescent="0.4">
      <c r="A13" s="1"/>
      <c r="B13" s="1"/>
      <c r="C13" s="1"/>
      <c r="D13" s="1"/>
      <c r="E13" s="1"/>
    </row>
    <row r="14" spans="1:5" x14ac:dyDescent="0.4">
      <c r="A14" s="1"/>
      <c r="B14" s="1"/>
      <c r="C14" s="1"/>
      <c r="D14" s="1"/>
      <c r="E14" s="1"/>
    </row>
    <row r="15" spans="1:5" x14ac:dyDescent="0.4">
      <c r="A15" s="1"/>
      <c r="B15" s="1"/>
      <c r="C15" s="1"/>
      <c r="D15" s="1"/>
      <c r="E15" s="1"/>
    </row>
    <row r="16" spans="1:5" x14ac:dyDescent="0.4">
      <c r="A16" s="1"/>
      <c r="B16" s="1"/>
      <c r="C16" s="1"/>
      <c r="D16" s="1"/>
      <c r="E16" s="1"/>
    </row>
    <row r="17" spans="1:5" x14ac:dyDescent="0.4">
      <c r="A17" s="1"/>
      <c r="B17" s="1"/>
      <c r="C17" s="1"/>
      <c r="D17" s="1"/>
      <c r="E17" s="1"/>
    </row>
    <row r="18" spans="1:5" x14ac:dyDescent="0.4">
      <c r="A18" s="1"/>
      <c r="B18" s="1"/>
      <c r="C18" s="1"/>
      <c r="D18" s="1"/>
      <c r="E18" s="1"/>
    </row>
    <row r="19" spans="1:5" x14ac:dyDescent="0.4">
      <c r="A19" s="1"/>
      <c r="B19" s="1"/>
      <c r="C19" s="1"/>
      <c r="D19" s="1"/>
      <c r="E19" s="1"/>
    </row>
    <row r="20" spans="1:5" x14ac:dyDescent="0.4">
      <c r="A20" s="1"/>
      <c r="B20" s="1"/>
      <c r="C20" s="1"/>
      <c r="D20" s="1"/>
      <c r="E20" s="1"/>
    </row>
    <row r="21" spans="1:5" x14ac:dyDescent="0.4">
      <c r="A21" s="1"/>
      <c r="B21" s="1"/>
      <c r="C21" s="1"/>
      <c r="D21" s="1"/>
      <c r="E21" s="1"/>
    </row>
    <row r="22" spans="1:5" x14ac:dyDescent="0.4">
      <c r="A22" s="1"/>
      <c r="B22" s="1"/>
      <c r="C22" s="1"/>
      <c r="D22" s="1"/>
      <c r="E22" s="1"/>
    </row>
    <row r="23" spans="1:5" x14ac:dyDescent="0.4">
      <c r="A23" s="1"/>
      <c r="B23" s="1"/>
      <c r="C23" s="1"/>
      <c r="D23" s="1"/>
      <c r="E23" s="1"/>
    </row>
    <row r="24" spans="1:5" x14ac:dyDescent="0.4">
      <c r="A24" s="1"/>
      <c r="B24" s="1"/>
      <c r="C24" s="1"/>
      <c r="D24" s="1"/>
      <c r="E24" s="1"/>
    </row>
    <row r="25" spans="1:5" x14ac:dyDescent="0.4">
      <c r="A25" s="1"/>
      <c r="B25" s="1"/>
      <c r="C25" s="1"/>
      <c r="D25" s="1"/>
      <c r="E25" s="1"/>
    </row>
    <row r="26" spans="1:5" x14ac:dyDescent="0.4">
      <c r="A26" s="1"/>
      <c r="B26" s="1"/>
      <c r="C26" s="1"/>
      <c r="D26" s="1"/>
      <c r="E26" s="1"/>
    </row>
    <row r="27" spans="1:5" x14ac:dyDescent="0.4">
      <c r="A27" s="1"/>
      <c r="B27" s="1"/>
      <c r="C27" s="1"/>
      <c r="D27" s="1"/>
      <c r="E27" s="1"/>
    </row>
    <row r="28" spans="1:5" x14ac:dyDescent="0.4">
      <c r="A28" s="1"/>
      <c r="B28" s="1"/>
      <c r="C28" s="1"/>
      <c r="D28" s="1"/>
      <c r="E28" s="1"/>
    </row>
    <row r="29" spans="1:5" x14ac:dyDescent="0.4">
      <c r="A29" s="1"/>
      <c r="B29" s="1"/>
      <c r="C29" s="1"/>
      <c r="D29" s="1"/>
      <c r="E29" s="1"/>
    </row>
    <row r="30" spans="1:5" x14ac:dyDescent="0.4">
      <c r="A30" s="1"/>
      <c r="B30" s="1"/>
      <c r="C30" s="1"/>
      <c r="D30" s="1"/>
      <c r="E30" s="1"/>
    </row>
    <row r="31" spans="1:5" x14ac:dyDescent="0.4">
      <c r="A31" s="1"/>
      <c r="B31" s="1"/>
      <c r="C31" s="1"/>
      <c r="D31" s="1"/>
      <c r="E31" s="1"/>
    </row>
    <row r="32" spans="1:5" x14ac:dyDescent="0.4">
      <c r="A32" s="1"/>
      <c r="B32" s="1"/>
      <c r="C32" s="1"/>
      <c r="D32" s="1"/>
      <c r="E32" s="1"/>
    </row>
    <row r="33" spans="1:5" x14ac:dyDescent="0.4">
      <c r="A33" s="1"/>
      <c r="B33" s="1"/>
      <c r="C33" s="1"/>
      <c r="D33" s="1"/>
      <c r="E33" s="1"/>
    </row>
    <row r="34" spans="1:5" x14ac:dyDescent="0.4">
      <c r="A34" s="1"/>
      <c r="B34" s="1"/>
      <c r="C34" s="1"/>
      <c r="D34" s="1"/>
      <c r="E34" s="1"/>
    </row>
    <row r="35" spans="1:5" x14ac:dyDescent="0.4">
      <c r="A35" s="1"/>
      <c r="B35" s="1"/>
      <c r="C35" s="1"/>
      <c r="D35" s="1"/>
      <c r="E35" s="1"/>
    </row>
    <row r="36" spans="1:5" x14ac:dyDescent="0.4">
      <c r="A36" s="1"/>
      <c r="B36" s="1"/>
      <c r="C36" s="1"/>
      <c r="D36" s="1"/>
      <c r="E3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40"/>
  <sheetViews>
    <sheetView topLeftCell="A7" workbookViewId="0">
      <selection activeCell="B54" sqref="B54"/>
    </sheetView>
  </sheetViews>
  <sheetFormatPr defaultRowHeight="17" x14ac:dyDescent="0.4"/>
  <cols>
    <col min="1" max="1" width="5.81640625" bestFit="1" customWidth="1"/>
    <col min="2" max="2" width="44.7265625" bestFit="1" customWidth="1"/>
    <col min="3" max="3" width="10.1796875" bestFit="1" customWidth="1"/>
    <col min="5" max="5" width="23.7265625" bestFit="1" customWidth="1"/>
    <col min="6" max="6" width="19.6328125" bestFit="1" customWidth="1"/>
    <col min="7" max="7" width="19.6328125" customWidth="1"/>
    <col min="8" max="8" width="48.453125" customWidth="1"/>
    <col min="9" max="9" width="28.1796875" bestFit="1" customWidth="1"/>
    <col min="10" max="10" width="19.6328125" style="7" customWidth="1"/>
    <col min="11" max="11" width="26.81640625" bestFit="1" customWidth="1"/>
    <col min="12" max="12" width="19.6328125" style="7" customWidth="1"/>
    <col min="13" max="13" width="12" style="7" bestFit="1" customWidth="1"/>
  </cols>
  <sheetData>
    <row r="1" spans="1:13" s="4" customFormat="1" x14ac:dyDescent="0.4">
      <c r="A1" s="3" t="s">
        <v>39</v>
      </c>
      <c r="B1" s="3" t="s">
        <v>0</v>
      </c>
      <c r="C1" s="3" t="s">
        <v>55</v>
      </c>
      <c r="D1" s="3" t="s">
        <v>4</v>
      </c>
      <c r="E1" s="3" t="s">
        <v>16</v>
      </c>
      <c r="F1" s="3" t="s">
        <v>49</v>
      </c>
      <c r="G1" s="3" t="s">
        <v>43</v>
      </c>
      <c r="H1" s="3" t="s">
        <v>5</v>
      </c>
      <c r="I1" s="3" t="s">
        <v>27</v>
      </c>
      <c r="J1" s="5" t="s">
        <v>29</v>
      </c>
      <c r="K1" s="3" t="s">
        <v>28</v>
      </c>
      <c r="L1" s="5" t="s">
        <v>30</v>
      </c>
      <c r="M1" s="12"/>
    </row>
    <row r="2" spans="1:13" x14ac:dyDescent="0.4">
      <c r="A2" s="1">
        <v>1</v>
      </c>
      <c r="B2" s="1" t="s">
        <v>37</v>
      </c>
      <c r="C2" s="1"/>
      <c r="D2" s="1">
        <v>1</v>
      </c>
      <c r="E2" s="1"/>
      <c r="F2" s="1" t="s">
        <v>17</v>
      </c>
      <c r="G2" s="1" t="s">
        <v>44</v>
      </c>
      <c r="H2" s="1" t="s">
        <v>6</v>
      </c>
      <c r="I2" s="1" t="s">
        <v>33</v>
      </c>
      <c r="J2" s="6">
        <v>27700</v>
      </c>
      <c r="K2" s="1"/>
      <c r="L2" s="6"/>
    </row>
    <row r="3" spans="1:13" x14ac:dyDescent="0.4">
      <c r="A3" s="1">
        <v>2</v>
      </c>
      <c r="B3" s="1" t="s">
        <v>34</v>
      </c>
      <c r="C3" s="1"/>
      <c r="D3" s="1">
        <v>1</v>
      </c>
      <c r="E3" s="1"/>
      <c r="F3" s="1" t="s">
        <v>17</v>
      </c>
      <c r="G3" s="1"/>
      <c r="H3" s="1" t="s">
        <v>6</v>
      </c>
      <c r="I3" s="1" t="s">
        <v>47</v>
      </c>
      <c r="J3" s="6">
        <v>3800</v>
      </c>
      <c r="K3" s="1"/>
      <c r="L3" s="6"/>
    </row>
    <row r="4" spans="1:13" x14ac:dyDescent="0.4">
      <c r="A4" s="1">
        <v>3</v>
      </c>
      <c r="B4" s="1" t="s">
        <v>35</v>
      </c>
      <c r="C4" s="1"/>
      <c r="D4" s="1">
        <v>1</v>
      </c>
      <c r="E4" s="1"/>
      <c r="F4" s="1" t="s">
        <v>17</v>
      </c>
      <c r="G4" s="1" t="s">
        <v>44</v>
      </c>
      <c r="H4" s="1" t="s">
        <v>6</v>
      </c>
      <c r="I4" s="1" t="s">
        <v>50</v>
      </c>
      <c r="J4" s="6">
        <v>4808</v>
      </c>
      <c r="K4" s="1"/>
      <c r="L4" s="6"/>
    </row>
    <row r="5" spans="1:13" x14ac:dyDescent="0.4">
      <c r="A5" s="1">
        <v>4</v>
      </c>
      <c r="B5" s="1" t="s">
        <v>35</v>
      </c>
      <c r="C5" s="1"/>
      <c r="D5" s="1">
        <v>1</v>
      </c>
      <c r="E5" s="1"/>
      <c r="F5" s="1" t="s">
        <v>18</v>
      </c>
      <c r="G5" s="1" t="s">
        <v>44</v>
      </c>
      <c r="H5" s="1" t="s">
        <v>6</v>
      </c>
      <c r="I5" s="1" t="s">
        <v>50</v>
      </c>
      <c r="J5" s="6">
        <v>4808</v>
      </c>
      <c r="K5" s="1"/>
      <c r="L5" s="6"/>
    </row>
    <row r="6" spans="1:13" x14ac:dyDescent="0.4">
      <c r="A6" s="1">
        <v>5</v>
      </c>
      <c r="B6" s="1" t="s">
        <v>41</v>
      </c>
      <c r="C6" s="1"/>
      <c r="D6" s="1">
        <v>2</v>
      </c>
      <c r="E6" s="1"/>
      <c r="F6" s="1" t="s">
        <v>17</v>
      </c>
      <c r="G6" s="1"/>
      <c r="H6" s="1" t="s">
        <v>6</v>
      </c>
      <c r="I6" s="1"/>
      <c r="J6" s="6">
        <v>5500</v>
      </c>
      <c r="K6" s="1"/>
      <c r="L6" s="6"/>
    </row>
    <row r="7" spans="1:13" x14ac:dyDescent="0.4">
      <c r="A7" s="1">
        <v>6</v>
      </c>
      <c r="B7" s="1" t="s">
        <v>42</v>
      </c>
      <c r="C7" s="1"/>
      <c r="D7" s="1">
        <v>1</v>
      </c>
      <c r="E7" s="1" t="s">
        <v>51</v>
      </c>
      <c r="F7" s="1" t="s">
        <v>38</v>
      </c>
      <c r="G7" s="1"/>
      <c r="H7" s="1" t="s">
        <v>6</v>
      </c>
      <c r="I7" s="1"/>
      <c r="J7" s="6">
        <v>8500</v>
      </c>
      <c r="K7" s="1"/>
      <c r="L7" s="6"/>
    </row>
    <row r="8" spans="1:13" s="4" customFormat="1" x14ac:dyDescent="0.4">
      <c r="A8" s="3"/>
      <c r="B8" s="3" t="s">
        <v>31</v>
      </c>
      <c r="C8" s="3"/>
      <c r="D8" s="3"/>
      <c r="E8" s="3"/>
      <c r="F8" s="3"/>
      <c r="G8" s="3"/>
      <c r="H8" s="3"/>
      <c r="I8" s="3"/>
      <c r="J8" s="5">
        <f>SUM(J2:J7)</f>
        <v>55116</v>
      </c>
      <c r="K8" s="3"/>
      <c r="L8" s="5"/>
      <c r="M8" s="12"/>
    </row>
    <row r="9" spans="1:13" x14ac:dyDescent="0.4">
      <c r="A9" s="10">
        <v>1</v>
      </c>
      <c r="B9" s="10" t="s">
        <v>1</v>
      </c>
      <c r="C9" s="10" t="s">
        <v>56</v>
      </c>
      <c r="D9" s="10">
        <v>1</v>
      </c>
      <c r="E9" s="10"/>
      <c r="F9" s="10" t="s">
        <v>18</v>
      </c>
      <c r="G9" s="10"/>
      <c r="H9" s="10" t="s">
        <v>14</v>
      </c>
      <c r="I9" s="10"/>
      <c r="J9" s="11"/>
      <c r="K9" s="10"/>
      <c r="L9" s="11"/>
      <c r="M9" s="7">
        <f>J9-L9</f>
        <v>0</v>
      </c>
    </row>
    <row r="10" spans="1:13" x14ac:dyDescent="0.4">
      <c r="A10" s="1">
        <v>2</v>
      </c>
      <c r="B10" s="1" t="s">
        <v>13</v>
      </c>
      <c r="C10" s="1" t="s">
        <v>56</v>
      </c>
      <c r="D10" s="1">
        <v>1</v>
      </c>
      <c r="E10" s="1"/>
      <c r="F10" s="1" t="s">
        <v>19</v>
      </c>
      <c r="G10" s="1"/>
      <c r="H10" s="1" t="s">
        <v>91</v>
      </c>
      <c r="I10" s="9"/>
      <c r="J10" s="8"/>
      <c r="K10" s="1" t="s">
        <v>82</v>
      </c>
      <c r="L10" s="6">
        <v>13300</v>
      </c>
      <c r="M10" s="7">
        <f t="shared" ref="M10:M37" si="0">J10-L10</f>
        <v>-13300</v>
      </c>
    </row>
    <row r="11" spans="1:13" x14ac:dyDescent="0.4">
      <c r="A11" s="1">
        <v>3</v>
      </c>
      <c r="B11" s="1" t="s">
        <v>52</v>
      </c>
      <c r="C11" s="1" t="s">
        <v>56</v>
      </c>
      <c r="D11" s="1">
        <v>1</v>
      </c>
      <c r="E11" s="1"/>
      <c r="F11" s="1" t="s">
        <v>18</v>
      </c>
      <c r="G11" s="1"/>
      <c r="H11" s="1" t="s">
        <v>91</v>
      </c>
      <c r="I11" s="1"/>
      <c r="J11" s="6">
        <v>2500</v>
      </c>
      <c r="K11" s="9"/>
      <c r="L11" s="8"/>
      <c r="M11" s="7">
        <f t="shared" si="0"/>
        <v>2500</v>
      </c>
    </row>
    <row r="12" spans="1:13" x14ac:dyDescent="0.4">
      <c r="A12" s="1">
        <v>4</v>
      </c>
      <c r="B12" s="1" t="s">
        <v>21</v>
      </c>
      <c r="C12" s="1" t="s">
        <v>56</v>
      </c>
      <c r="D12" s="1">
        <v>1</v>
      </c>
      <c r="E12" s="1"/>
      <c r="F12" s="1" t="s">
        <v>19</v>
      </c>
      <c r="G12" s="1"/>
      <c r="H12" s="1" t="s">
        <v>91</v>
      </c>
      <c r="I12" s="1"/>
      <c r="J12" s="6">
        <v>8500</v>
      </c>
      <c r="K12" s="10"/>
      <c r="L12" s="11"/>
      <c r="M12" s="7">
        <f t="shared" si="0"/>
        <v>8500</v>
      </c>
    </row>
    <row r="13" spans="1:13" x14ac:dyDescent="0.4">
      <c r="A13" s="10">
        <v>5</v>
      </c>
      <c r="B13" s="10" t="s">
        <v>15</v>
      </c>
      <c r="C13" s="10" t="s">
        <v>15</v>
      </c>
      <c r="D13" s="10">
        <v>1</v>
      </c>
      <c r="E13" s="10"/>
      <c r="F13" s="10" t="s">
        <v>18</v>
      </c>
      <c r="G13" s="10"/>
      <c r="H13" s="10" t="s">
        <v>40</v>
      </c>
      <c r="I13" s="10"/>
      <c r="J13" s="11"/>
      <c r="K13" s="10"/>
      <c r="L13" s="11"/>
      <c r="M13" s="7">
        <f t="shared" si="0"/>
        <v>0</v>
      </c>
    </row>
    <row r="14" spans="1:13" x14ac:dyDescent="0.4">
      <c r="A14" s="1">
        <v>6</v>
      </c>
      <c r="B14" s="1" t="s">
        <v>90</v>
      </c>
      <c r="C14" s="1" t="s">
        <v>15</v>
      </c>
      <c r="D14" s="1">
        <v>1</v>
      </c>
      <c r="E14" s="1"/>
      <c r="F14" s="1" t="s">
        <v>20</v>
      </c>
      <c r="G14" s="1"/>
      <c r="H14" s="1" t="s">
        <v>91</v>
      </c>
      <c r="I14" s="9"/>
      <c r="J14" s="8"/>
      <c r="K14" s="9"/>
      <c r="L14" s="8"/>
      <c r="M14" s="7">
        <f t="shared" si="0"/>
        <v>0</v>
      </c>
    </row>
    <row r="15" spans="1:13" x14ac:dyDescent="0.4">
      <c r="A15" s="1">
        <v>7</v>
      </c>
      <c r="B15" s="1" t="s">
        <v>13</v>
      </c>
      <c r="C15" s="1" t="s">
        <v>15</v>
      </c>
      <c r="D15" s="1">
        <v>1</v>
      </c>
      <c r="E15" s="1"/>
      <c r="F15" s="1" t="s">
        <v>20</v>
      </c>
      <c r="G15" s="1"/>
      <c r="H15" s="1" t="s">
        <v>91</v>
      </c>
      <c r="I15" s="9"/>
      <c r="J15" s="8"/>
      <c r="K15" s="1" t="s">
        <v>82</v>
      </c>
      <c r="L15" s="6">
        <v>13300</v>
      </c>
      <c r="M15" s="7">
        <f t="shared" si="0"/>
        <v>-13300</v>
      </c>
    </row>
    <row r="16" spans="1:13" x14ac:dyDescent="0.4">
      <c r="A16" s="1">
        <v>8</v>
      </c>
      <c r="B16" s="1" t="s">
        <v>8</v>
      </c>
      <c r="C16" s="1" t="s">
        <v>57</v>
      </c>
      <c r="D16" s="1">
        <v>11</v>
      </c>
      <c r="E16" s="1"/>
      <c r="F16" s="1" t="s">
        <v>18</v>
      </c>
      <c r="G16" s="1" t="s">
        <v>45</v>
      </c>
      <c r="H16" s="1" t="s">
        <v>91</v>
      </c>
      <c r="I16" s="1" t="s">
        <v>69</v>
      </c>
      <c r="J16" s="6">
        <v>109000</v>
      </c>
      <c r="K16" s="1" t="s">
        <v>86</v>
      </c>
      <c r="L16" s="6"/>
      <c r="M16" s="7">
        <f t="shared" si="0"/>
        <v>109000</v>
      </c>
    </row>
    <row r="17" spans="1:13" x14ac:dyDescent="0.4">
      <c r="A17" s="1">
        <v>9</v>
      </c>
      <c r="B17" s="1" t="s">
        <v>7</v>
      </c>
      <c r="C17" s="1" t="s">
        <v>57</v>
      </c>
      <c r="D17" s="1">
        <v>1</v>
      </c>
      <c r="E17" s="1"/>
      <c r="F17" s="1" t="s">
        <v>18</v>
      </c>
      <c r="G17" s="1" t="s">
        <v>45</v>
      </c>
      <c r="H17" s="1" t="s">
        <v>91</v>
      </c>
      <c r="I17" s="1" t="s">
        <v>70</v>
      </c>
      <c r="J17" s="6">
        <v>40000</v>
      </c>
      <c r="K17" s="1" t="s">
        <v>86</v>
      </c>
      <c r="L17" s="6">
        <f>446000/2</f>
        <v>223000</v>
      </c>
      <c r="M17" s="7">
        <f t="shared" si="0"/>
        <v>-183000</v>
      </c>
    </row>
    <row r="18" spans="1:13" x14ac:dyDescent="0.4">
      <c r="A18" s="1">
        <v>10</v>
      </c>
      <c r="B18" s="1" t="s">
        <v>53</v>
      </c>
      <c r="C18" s="1" t="s">
        <v>57</v>
      </c>
      <c r="D18" s="1">
        <v>1</v>
      </c>
      <c r="E18" s="1"/>
      <c r="F18" s="1" t="s">
        <v>18</v>
      </c>
      <c r="G18" s="1"/>
      <c r="H18" s="1" t="s">
        <v>91</v>
      </c>
      <c r="I18" s="1" t="s">
        <v>71</v>
      </c>
      <c r="J18" s="6">
        <v>3000</v>
      </c>
      <c r="K18" s="1" t="s">
        <v>86</v>
      </c>
      <c r="L18" s="6"/>
      <c r="M18" s="7">
        <f t="shared" si="0"/>
        <v>3000</v>
      </c>
    </row>
    <row r="19" spans="1:13" x14ac:dyDescent="0.4">
      <c r="A19" s="1">
        <v>11</v>
      </c>
      <c r="B19" s="1" t="s">
        <v>54</v>
      </c>
      <c r="C19" s="1" t="s">
        <v>57</v>
      </c>
      <c r="D19" s="1">
        <v>1</v>
      </c>
      <c r="E19" s="1"/>
      <c r="F19" s="1" t="s">
        <v>18</v>
      </c>
      <c r="G19" s="1"/>
      <c r="H19" s="1" t="s">
        <v>91</v>
      </c>
      <c r="I19" s="1"/>
      <c r="J19" s="6">
        <v>8000</v>
      </c>
      <c r="K19" s="1"/>
      <c r="L19" s="6"/>
      <c r="M19" s="7">
        <f t="shared" si="0"/>
        <v>8000</v>
      </c>
    </row>
    <row r="20" spans="1:13" x14ac:dyDescent="0.4">
      <c r="A20" s="1">
        <v>12</v>
      </c>
      <c r="B20" s="1" t="s">
        <v>9</v>
      </c>
      <c r="C20" s="1" t="s">
        <v>58</v>
      </c>
      <c r="D20" s="1">
        <v>1</v>
      </c>
      <c r="E20" s="1"/>
      <c r="F20" s="1" t="s">
        <v>18</v>
      </c>
      <c r="G20" s="1" t="s">
        <v>45</v>
      </c>
      <c r="H20" s="1" t="s">
        <v>91</v>
      </c>
      <c r="I20" s="1" t="s">
        <v>72</v>
      </c>
      <c r="J20" s="6">
        <v>18500</v>
      </c>
      <c r="K20" s="1" t="s">
        <v>87</v>
      </c>
      <c r="L20" s="6">
        <v>42900</v>
      </c>
      <c r="M20" s="7">
        <f t="shared" si="0"/>
        <v>-24400</v>
      </c>
    </row>
    <row r="21" spans="1:13" x14ac:dyDescent="0.4">
      <c r="A21" s="1">
        <v>13</v>
      </c>
      <c r="B21" s="1" t="s">
        <v>10</v>
      </c>
      <c r="C21" s="1" t="s">
        <v>58</v>
      </c>
      <c r="D21" s="1">
        <v>1</v>
      </c>
      <c r="E21" s="1"/>
      <c r="F21" s="1" t="s">
        <v>18</v>
      </c>
      <c r="G21" s="1" t="s">
        <v>45</v>
      </c>
      <c r="H21" s="1" t="s">
        <v>91</v>
      </c>
      <c r="I21" s="1" t="s">
        <v>73</v>
      </c>
      <c r="J21" s="6">
        <v>30000</v>
      </c>
      <c r="K21" s="1" t="s">
        <v>88</v>
      </c>
      <c r="L21" s="6">
        <v>42100</v>
      </c>
      <c r="M21" s="7">
        <f t="shared" si="0"/>
        <v>-12100</v>
      </c>
    </row>
    <row r="22" spans="1:13" x14ac:dyDescent="0.4">
      <c r="A22" s="1">
        <v>14</v>
      </c>
      <c r="B22" s="1" t="s">
        <v>11</v>
      </c>
      <c r="C22" s="1" t="s">
        <v>58</v>
      </c>
      <c r="D22" s="1">
        <v>6</v>
      </c>
      <c r="E22" s="1"/>
      <c r="F22" s="1" t="s">
        <v>18</v>
      </c>
      <c r="G22" s="1" t="s">
        <v>45</v>
      </c>
      <c r="H22" s="1" t="s">
        <v>91</v>
      </c>
      <c r="I22" s="1" t="s">
        <v>74</v>
      </c>
      <c r="J22" s="6">
        <v>32000</v>
      </c>
      <c r="K22" s="1" t="s">
        <v>89</v>
      </c>
      <c r="L22" s="6">
        <v>19000</v>
      </c>
      <c r="M22" s="7">
        <f t="shared" si="0"/>
        <v>13000</v>
      </c>
    </row>
    <row r="23" spans="1:13" x14ac:dyDescent="0.4">
      <c r="A23" s="1">
        <v>15</v>
      </c>
      <c r="B23" s="1" t="s">
        <v>62</v>
      </c>
      <c r="C23" s="1" t="s">
        <v>58</v>
      </c>
      <c r="D23" s="1">
        <v>1</v>
      </c>
      <c r="E23" s="1"/>
      <c r="F23" s="1" t="s">
        <v>18</v>
      </c>
      <c r="G23" s="1"/>
      <c r="H23" s="1" t="s">
        <v>91</v>
      </c>
      <c r="I23" s="1" t="s">
        <v>75</v>
      </c>
      <c r="J23" s="6">
        <v>12000</v>
      </c>
      <c r="K23" s="9"/>
      <c r="L23" s="8"/>
      <c r="M23" s="7">
        <f t="shared" si="0"/>
        <v>12000</v>
      </c>
    </row>
    <row r="24" spans="1:13" x14ac:dyDescent="0.4">
      <c r="A24" s="1">
        <v>16</v>
      </c>
      <c r="B24" s="1" t="s">
        <v>63</v>
      </c>
      <c r="C24" s="1" t="s">
        <v>58</v>
      </c>
      <c r="D24" s="1">
        <v>1</v>
      </c>
      <c r="E24" s="1"/>
      <c r="F24" s="1" t="s">
        <v>18</v>
      </c>
      <c r="G24" s="1"/>
      <c r="H24" s="1" t="s">
        <v>91</v>
      </c>
      <c r="I24" s="1"/>
      <c r="J24" s="6">
        <v>3500</v>
      </c>
      <c r="K24" s="10"/>
      <c r="L24" s="11"/>
      <c r="M24" s="7">
        <f t="shared" si="0"/>
        <v>3500</v>
      </c>
    </row>
    <row r="25" spans="1:13" x14ac:dyDescent="0.4">
      <c r="A25" s="1">
        <v>17</v>
      </c>
      <c r="B25" s="1" t="s">
        <v>64</v>
      </c>
      <c r="C25" s="1" t="s">
        <v>58</v>
      </c>
      <c r="D25" s="1">
        <v>1</v>
      </c>
      <c r="E25" s="1"/>
      <c r="F25" s="1" t="s">
        <v>18</v>
      </c>
      <c r="G25" s="1"/>
      <c r="H25" s="1" t="s">
        <v>91</v>
      </c>
      <c r="I25" s="1"/>
      <c r="J25" s="6">
        <v>3500</v>
      </c>
      <c r="K25" s="10"/>
      <c r="L25" s="11"/>
      <c r="M25" s="7">
        <f t="shared" si="0"/>
        <v>3500</v>
      </c>
    </row>
    <row r="26" spans="1:13" x14ac:dyDescent="0.4">
      <c r="A26" s="1">
        <v>18</v>
      </c>
      <c r="B26" s="1" t="s">
        <v>12</v>
      </c>
      <c r="C26" s="1" t="s">
        <v>59</v>
      </c>
      <c r="D26" s="1">
        <v>1</v>
      </c>
      <c r="E26" s="1"/>
      <c r="F26" s="1" t="s">
        <v>18</v>
      </c>
      <c r="G26" s="1" t="s">
        <v>45</v>
      </c>
      <c r="H26" s="1" t="s">
        <v>91</v>
      </c>
      <c r="I26" s="1" t="s">
        <v>76</v>
      </c>
      <c r="J26" s="6">
        <v>38000</v>
      </c>
      <c r="K26" s="1" t="s">
        <v>80</v>
      </c>
      <c r="L26" s="6">
        <v>114300</v>
      </c>
      <c r="M26" s="7">
        <f t="shared" si="0"/>
        <v>-76300</v>
      </c>
    </row>
    <row r="27" spans="1:13" x14ac:dyDescent="0.4">
      <c r="A27" s="1">
        <v>19</v>
      </c>
      <c r="B27" s="1" t="s">
        <v>65</v>
      </c>
      <c r="C27" s="1" t="s">
        <v>59</v>
      </c>
      <c r="D27" s="1">
        <v>1</v>
      </c>
      <c r="E27" s="1"/>
      <c r="F27" s="1" t="s">
        <v>22</v>
      </c>
      <c r="G27" s="1"/>
      <c r="H27" s="1" t="s">
        <v>91</v>
      </c>
      <c r="I27" s="1" t="s">
        <v>77</v>
      </c>
      <c r="J27" s="6">
        <v>4000</v>
      </c>
      <c r="K27" s="1" t="s">
        <v>82</v>
      </c>
      <c r="L27" s="6">
        <v>13300</v>
      </c>
      <c r="M27" s="7">
        <f t="shared" si="0"/>
        <v>-9300</v>
      </c>
    </row>
    <row r="28" spans="1:13" x14ac:dyDescent="0.4">
      <c r="A28" s="1">
        <v>20</v>
      </c>
      <c r="B28" s="1" t="s">
        <v>66</v>
      </c>
      <c r="C28" s="1" t="s">
        <v>59</v>
      </c>
      <c r="D28" s="1">
        <v>1</v>
      </c>
      <c r="E28" s="1"/>
      <c r="F28" s="1" t="s">
        <v>22</v>
      </c>
      <c r="G28" s="1"/>
      <c r="H28" s="1" t="s">
        <v>91</v>
      </c>
      <c r="I28" s="1" t="s">
        <v>78</v>
      </c>
      <c r="J28" s="6">
        <v>4000</v>
      </c>
      <c r="K28" s="1" t="s">
        <v>82</v>
      </c>
      <c r="L28" s="6">
        <v>13300</v>
      </c>
      <c r="M28" s="7">
        <f t="shared" si="0"/>
        <v>-9300</v>
      </c>
    </row>
    <row r="29" spans="1:13" x14ac:dyDescent="0.4">
      <c r="A29" s="1">
        <v>21</v>
      </c>
      <c r="B29" s="1" t="s">
        <v>21</v>
      </c>
      <c r="C29" s="1" t="s">
        <v>59</v>
      </c>
      <c r="D29" s="1">
        <v>1</v>
      </c>
      <c r="E29" s="1"/>
      <c r="F29" s="1" t="s">
        <v>18</v>
      </c>
      <c r="G29" s="1"/>
      <c r="H29" s="1" t="s">
        <v>91</v>
      </c>
      <c r="I29" s="1"/>
      <c r="J29" s="6">
        <v>18500</v>
      </c>
      <c r="K29" s="10"/>
      <c r="L29" s="11"/>
      <c r="M29" s="7">
        <f t="shared" si="0"/>
        <v>18500</v>
      </c>
    </row>
    <row r="30" spans="1:13" x14ac:dyDescent="0.4">
      <c r="A30" s="1">
        <v>22</v>
      </c>
      <c r="B30" s="1" t="s">
        <v>83</v>
      </c>
      <c r="C30" s="1" t="s">
        <v>59</v>
      </c>
      <c r="D30" s="1">
        <v>1</v>
      </c>
      <c r="E30" s="1"/>
      <c r="F30" s="1" t="s">
        <v>18</v>
      </c>
      <c r="G30" s="1"/>
      <c r="H30" s="1" t="s">
        <v>91</v>
      </c>
      <c r="I30" s="1"/>
      <c r="J30" s="6"/>
      <c r="K30" s="1" t="s">
        <v>84</v>
      </c>
      <c r="L30" s="6">
        <v>12000</v>
      </c>
      <c r="M30" s="7">
        <f t="shared" si="0"/>
        <v>-12000</v>
      </c>
    </row>
    <row r="31" spans="1:13" x14ac:dyDescent="0.4">
      <c r="A31" s="1">
        <v>23</v>
      </c>
      <c r="B31" s="1" t="s">
        <v>67</v>
      </c>
      <c r="C31" s="1" t="s">
        <v>60</v>
      </c>
      <c r="D31" s="1">
        <v>1</v>
      </c>
      <c r="E31" s="1"/>
      <c r="F31" s="1" t="s">
        <v>18</v>
      </c>
      <c r="G31" s="1"/>
      <c r="H31" s="1" t="s">
        <v>91</v>
      </c>
      <c r="I31" s="1"/>
      <c r="J31" s="6">
        <v>16000</v>
      </c>
      <c r="K31" s="1"/>
      <c r="L31" s="6"/>
      <c r="M31" s="7">
        <f t="shared" si="0"/>
        <v>16000</v>
      </c>
    </row>
    <row r="32" spans="1:13" x14ac:dyDescent="0.4">
      <c r="A32" s="1">
        <v>24</v>
      </c>
      <c r="B32" s="1" t="s">
        <v>23</v>
      </c>
      <c r="C32" s="1" t="s">
        <v>60</v>
      </c>
      <c r="D32" s="1">
        <v>1</v>
      </c>
      <c r="E32" s="1"/>
      <c r="F32" s="1" t="s">
        <v>18</v>
      </c>
      <c r="G32" s="1" t="s">
        <v>45</v>
      </c>
      <c r="H32" s="1" t="s">
        <v>91</v>
      </c>
      <c r="I32" s="9"/>
      <c r="J32" s="8"/>
      <c r="K32" s="1" t="s">
        <v>81</v>
      </c>
      <c r="L32" s="6">
        <v>113800</v>
      </c>
      <c r="M32" s="7">
        <f t="shared" si="0"/>
        <v>-113800</v>
      </c>
    </row>
    <row r="33" spans="1:13" x14ac:dyDescent="0.4">
      <c r="A33" s="1">
        <v>25</v>
      </c>
      <c r="B33" s="1" t="s">
        <v>24</v>
      </c>
      <c r="C33" s="1" t="s">
        <v>60</v>
      </c>
      <c r="D33" s="1">
        <v>1</v>
      </c>
      <c r="E33" s="1"/>
      <c r="F33" s="1" t="s">
        <v>18</v>
      </c>
      <c r="G33" s="1"/>
      <c r="H33" s="1" t="s">
        <v>91</v>
      </c>
      <c r="I33" s="9"/>
      <c r="J33" s="8"/>
      <c r="K33" s="1" t="s">
        <v>85</v>
      </c>
      <c r="L33" s="6">
        <v>2500</v>
      </c>
      <c r="M33" s="7">
        <f t="shared" si="0"/>
        <v>-2500</v>
      </c>
    </row>
    <row r="34" spans="1:13" x14ac:dyDescent="0.4">
      <c r="A34" s="1">
        <v>26</v>
      </c>
      <c r="B34" s="2" t="s">
        <v>26</v>
      </c>
      <c r="C34" s="2" t="s">
        <v>61</v>
      </c>
      <c r="D34" s="1">
        <v>1</v>
      </c>
      <c r="E34" s="1"/>
      <c r="F34" s="1" t="s">
        <v>18</v>
      </c>
      <c r="G34" s="1"/>
      <c r="H34" s="1" t="s">
        <v>91</v>
      </c>
      <c r="I34" s="1" t="s">
        <v>68</v>
      </c>
      <c r="J34" s="6">
        <v>16000</v>
      </c>
      <c r="K34" s="9"/>
      <c r="L34" s="8"/>
      <c r="M34" s="7">
        <f t="shared" si="0"/>
        <v>16000</v>
      </c>
    </row>
    <row r="35" spans="1:13" x14ac:dyDescent="0.4">
      <c r="A35" s="1">
        <v>27</v>
      </c>
      <c r="B35" s="1" t="s">
        <v>25</v>
      </c>
      <c r="C35" s="1" t="s">
        <v>60</v>
      </c>
      <c r="D35" s="1">
        <v>1</v>
      </c>
      <c r="E35" s="1"/>
      <c r="F35" s="1" t="s">
        <v>18</v>
      </c>
      <c r="G35" s="1"/>
      <c r="H35" s="1" t="s">
        <v>91</v>
      </c>
      <c r="I35" s="1" t="s">
        <v>79</v>
      </c>
      <c r="J35" s="6">
        <v>18000</v>
      </c>
      <c r="K35" s="9"/>
      <c r="L35" s="8"/>
      <c r="M35" s="7">
        <f t="shared" si="0"/>
        <v>18000</v>
      </c>
    </row>
    <row r="36" spans="1:13" x14ac:dyDescent="0.4">
      <c r="A36" s="1">
        <v>28</v>
      </c>
      <c r="B36" s="1" t="s">
        <v>21</v>
      </c>
      <c r="C36" s="1" t="s">
        <v>60</v>
      </c>
      <c r="D36" s="1">
        <v>1</v>
      </c>
      <c r="E36" s="1"/>
      <c r="F36" s="1" t="s">
        <v>18</v>
      </c>
      <c r="G36" s="1"/>
      <c r="H36" s="1" t="s">
        <v>91</v>
      </c>
      <c r="I36" s="1"/>
      <c r="J36" s="6"/>
      <c r="K36" s="1"/>
      <c r="L36" s="6">
        <f>35000+55000+9000</f>
        <v>99000</v>
      </c>
      <c r="M36" s="7">
        <f t="shared" si="0"/>
        <v>-99000</v>
      </c>
    </row>
    <row r="37" spans="1:13" s="4" customFormat="1" x14ac:dyDescent="0.4">
      <c r="A37" s="3"/>
      <c r="B37" s="3" t="s">
        <v>31</v>
      </c>
      <c r="C37" s="3"/>
      <c r="D37" s="3"/>
      <c r="E37" s="3"/>
      <c r="F37" s="3"/>
      <c r="G37" s="3"/>
      <c r="H37" s="3"/>
      <c r="I37" s="3"/>
      <c r="J37" s="5">
        <f>SUM(J9:J36)</f>
        <v>385000</v>
      </c>
      <c r="K37" s="3"/>
      <c r="L37" s="5">
        <f>SUM(L9:L36)</f>
        <v>721800</v>
      </c>
      <c r="M37" s="7">
        <f t="shared" si="0"/>
        <v>-336800</v>
      </c>
    </row>
    <row r="38" spans="1:13" s="4" customFormat="1" x14ac:dyDescent="0.4">
      <c r="A38" s="3"/>
      <c r="B38" s="3" t="s">
        <v>32</v>
      </c>
      <c r="C38" s="3"/>
      <c r="D38" s="3"/>
      <c r="E38" s="3"/>
      <c r="F38" s="3"/>
      <c r="G38" s="3"/>
      <c r="H38" s="3"/>
      <c r="I38" s="3"/>
      <c r="J38" s="5"/>
      <c r="K38" s="3"/>
      <c r="L38" s="5"/>
      <c r="M38" s="12"/>
    </row>
    <row r="39" spans="1:13" x14ac:dyDescent="0.4">
      <c r="A39" s="1"/>
      <c r="B39" s="1" t="s">
        <v>2</v>
      </c>
      <c r="C39" s="1"/>
      <c r="D39" s="1"/>
      <c r="E39" s="1" t="s">
        <v>46</v>
      </c>
      <c r="F39" s="1"/>
      <c r="G39" s="1"/>
      <c r="H39" s="1"/>
      <c r="I39" s="1"/>
      <c r="J39" s="6"/>
      <c r="K39" s="1"/>
      <c r="L39" s="6"/>
    </row>
    <row r="40" spans="1:13" x14ac:dyDescent="0.4">
      <c r="A40" s="1"/>
      <c r="B40" s="1" t="s">
        <v>3</v>
      </c>
      <c r="C40" s="1"/>
      <c r="D40" s="1"/>
      <c r="E40" s="1" t="s">
        <v>46</v>
      </c>
      <c r="F40" s="1"/>
      <c r="G40" s="1"/>
      <c r="H40" s="1"/>
      <c r="I40" s="1"/>
      <c r="J40" s="6"/>
      <c r="K40" s="1"/>
      <c r="L40" s="6"/>
    </row>
  </sheetData>
  <phoneticPr fontId="1" type="noConversion"/>
  <pageMargins left="0.25" right="0.25" top="0.75" bottom="0.75" header="0.3" footer="0.3"/>
  <pageSetup paperSize="8" scale="71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25"/>
  <sheetViews>
    <sheetView workbookViewId="0">
      <selection activeCell="K17" sqref="K17"/>
    </sheetView>
  </sheetViews>
  <sheetFormatPr defaultRowHeight="17" x14ac:dyDescent="0.4"/>
  <cols>
    <col min="1" max="1" width="5.81640625" bestFit="1" customWidth="1"/>
    <col min="2" max="2" width="44.7265625" bestFit="1" customWidth="1"/>
    <col min="3" max="3" width="10.1796875" bestFit="1" customWidth="1"/>
    <col min="5" max="5" width="23.7265625" bestFit="1" customWidth="1"/>
    <col min="6" max="6" width="19.6328125" bestFit="1" customWidth="1"/>
    <col min="7" max="7" width="19.6328125" customWidth="1"/>
    <col min="8" max="8" width="22.26953125" customWidth="1"/>
    <col min="9" max="9" width="28.1796875" bestFit="1" customWidth="1"/>
    <col min="10" max="10" width="19.6328125" style="7" customWidth="1"/>
    <col min="11" max="11" width="26.81640625" bestFit="1" customWidth="1"/>
    <col min="12" max="13" width="19.6328125" style="7" customWidth="1"/>
  </cols>
  <sheetData>
    <row r="1" spans="1:13" s="4" customFormat="1" x14ac:dyDescent="0.4">
      <c r="A1" s="3" t="s">
        <v>39</v>
      </c>
      <c r="B1" s="3" t="s">
        <v>0</v>
      </c>
      <c r="C1" s="3" t="s">
        <v>55</v>
      </c>
      <c r="D1" s="3" t="s">
        <v>4</v>
      </c>
      <c r="E1" s="3" t="s">
        <v>16</v>
      </c>
      <c r="F1" s="3" t="s">
        <v>49</v>
      </c>
      <c r="G1" s="3" t="s">
        <v>43</v>
      </c>
      <c r="H1" s="3" t="s">
        <v>5</v>
      </c>
      <c r="I1" s="3" t="s">
        <v>27</v>
      </c>
      <c r="J1" s="5" t="s">
        <v>29</v>
      </c>
      <c r="K1" s="3" t="s">
        <v>28</v>
      </c>
      <c r="L1" s="5" t="s">
        <v>30</v>
      </c>
      <c r="M1" s="5" t="s">
        <v>112</v>
      </c>
    </row>
    <row r="2" spans="1:13" x14ac:dyDescent="0.4">
      <c r="A2" s="1">
        <v>1</v>
      </c>
      <c r="B2" s="1" t="s">
        <v>36</v>
      </c>
      <c r="C2" s="1" t="s">
        <v>56</v>
      </c>
      <c r="D2" s="1">
        <v>1</v>
      </c>
      <c r="E2" s="1"/>
      <c r="F2" s="1" t="s">
        <v>17</v>
      </c>
      <c r="G2" s="1" t="s">
        <v>44</v>
      </c>
      <c r="H2" s="1"/>
      <c r="I2" s="1" t="s">
        <v>118</v>
      </c>
      <c r="J2" s="6">
        <v>40900</v>
      </c>
      <c r="K2" s="1"/>
      <c r="L2" s="6"/>
      <c r="M2" s="6"/>
    </row>
    <row r="3" spans="1:13" x14ac:dyDescent="0.4">
      <c r="A3" s="1">
        <v>3</v>
      </c>
      <c r="B3" s="1" t="s">
        <v>92</v>
      </c>
      <c r="C3" s="1" t="s">
        <v>56</v>
      </c>
      <c r="D3" s="1">
        <v>1</v>
      </c>
      <c r="E3" s="1"/>
      <c r="F3" s="1" t="s">
        <v>17</v>
      </c>
      <c r="G3" s="1" t="s">
        <v>44</v>
      </c>
      <c r="H3" s="1"/>
      <c r="I3" s="1" t="s">
        <v>119</v>
      </c>
      <c r="J3" s="6">
        <v>5000</v>
      </c>
      <c r="K3" s="1"/>
      <c r="L3" s="6"/>
      <c r="M3" s="6"/>
    </row>
    <row r="4" spans="1:13" x14ac:dyDescent="0.4">
      <c r="A4" s="1">
        <v>4</v>
      </c>
      <c r="B4" s="1" t="s">
        <v>92</v>
      </c>
      <c r="C4" s="1" t="s">
        <v>56</v>
      </c>
      <c r="D4" s="1">
        <v>1</v>
      </c>
      <c r="E4" s="1"/>
      <c r="F4" s="1" t="s">
        <v>18</v>
      </c>
      <c r="G4" s="1" t="s">
        <v>44</v>
      </c>
      <c r="H4" s="1"/>
      <c r="I4" s="1" t="s">
        <v>119</v>
      </c>
      <c r="J4" s="6">
        <v>5000</v>
      </c>
      <c r="K4" s="1"/>
      <c r="L4" s="6"/>
      <c r="M4" s="6"/>
    </row>
    <row r="5" spans="1:13" x14ac:dyDescent="0.4">
      <c r="A5" s="1">
        <v>5</v>
      </c>
      <c r="B5" s="1" t="s">
        <v>41</v>
      </c>
      <c r="C5" s="1" t="s">
        <v>56</v>
      </c>
      <c r="D5" s="1">
        <v>2</v>
      </c>
      <c r="E5" s="1"/>
      <c r="F5" s="1" t="s">
        <v>17</v>
      </c>
      <c r="G5" s="1"/>
      <c r="H5" s="1"/>
      <c r="I5" s="1"/>
      <c r="J5" s="6">
        <v>2500</v>
      </c>
      <c r="K5" s="1"/>
      <c r="L5" s="6"/>
      <c r="M5" s="6"/>
    </row>
    <row r="6" spans="1:13" x14ac:dyDescent="0.4">
      <c r="A6" s="1">
        <v>6</v>
      </c>
      <c r="B6" s="1" t="s">
        <v>42</v>
      </c>
      <c r="C6" s="1" t="s">
        <v>56</v>
      </c>
      <c r="D6" s="1">
        <v>1</v>
      </c>
      <c r="E6" s="1" t="s">
        <v>51</v>
      </c>
      <c r="F6" s="1" t="s">
        <v>38</v>
      </c>
      <c r="G6" s="1"/>
      <c r="H6" s="1"/>
      <c r="I6" s="1"/>
      <c r="J6" s="6">
        <v>8500</v>
      </c>
      <c r="K6" s="1"/>
      <c r="L6" s="6"/>
      <c r="M6" s="6"/>
    </row>
    <row r="7" spans="1:13" x14ac:dyDescent="0.4">
      <c r="A7" s="10">
        <v>7</v>
      </c>
      <c r="B7" s="10" t="s">
        <v>1</v>
      </c>
      <c r="C7" s="10" t="s">
        <v>56</v>
      </c>
      <c r="D7" s="10">
        <v>1</v>
      </c>
      <c r="E7" s="10"/>
      <c r="F7" s="10" t="s">
        <v>18</v>
      </c>
      <c r="G7" s="10"/>
      <c r="H7" s="10" t="s">
        <v>14</v>
      </c>
      <c r="I7" s="10"/>
      <c r="J7" s="11"/>
      <c r="K7" s="10"/>
      <c r="L7" s="11"/>
      <c r="M7" s="11">
        <f>J7-L7</f>
        <v>0</v>
      </c>
    </row>
    <row r="8" spans="1:13" x14ac:dyDescent="0.4">
      <c r="A8" s="1">
        <v>8</v>
      </c>
      <c r="B8" s="1" t="s">
        <v>13</v>
      </c>
      <c r="C8" s="1" t="s">
        <v>56</v>
      </c>
      <c r="D8" s="1">
        <v>1</v>
      </c>
      <c r="E8" s="1"/>
      <c r="F8" s="1" t="s">
        <v>19</v>
      </c>
      <c r="G8" s="1"/>
      <c r="H8" s="1"/>
      <c r="I8" s="1" t="s">
        <v>120</v>
      </c>
      <c r="J8" s="6">
        <v>8000</v>
      </c>
      <c r="K8" s="1" t="s">
        <v>82</v>
      </c>
      <c r="L8" s="6">
        <v>13300</v>
      </c>
      <c r="M8" s="6">
        <f t="shared" ref="M8:M24" si="0">J8-L8</f>
        <v>-5300</v>
      </c>
    </row>
    <row r="9" spans="1:13" x14ac:dyDescent="0.4">
      <c r="A9" s="1">
        <v>9</v>
      </c>
      <c r="B9" s="1" t="s">
        <v>52</v>
      </c>
      <c r="C9" s="1" t="s">
        <v>56</v>
      </c>
      <c r="D9" s="1">
        <v>1</v>
      </c>
      <c r="E9" s="1"/>
      <c r="F9" s="1" t="s">
        <v>18</v>
      </c>
      <c r="G9" s="1"/>
      <c r="H9" s="1"/>
      <c r="I9" s="1"/>
      <c r="J9" s="6"/>
      <c r="K9" s="9"/>
      <c r="L9" s="8"/>
      <c r="M9" s="8">
        <f t="shared" si="0"/>
        <v>0</v>
      </c>
    </row>
    <row r="10" spans="1:13" x14ac:dyDescent="0.4">
      <c r="A10" s="1">
        <v>10</v>
      </c>
      <c r="B10" s="1" t="s">
        <v>21</v>
      </c>
      <c r="C10" s="1" t="s">
        <v>56</v>
      </c>
      <c r="D10" s="1">
        <v>1</v>
      </c>
      <c r="E10" s="1"/>
      <c r="F10" s="1" t="s">
        <v>19</v>
      </c>
      <c r="G10" s="1"/>
      <c r="H10" s="1"/>
      <c r="I10" s="1"/>
      <c r="J10" s="6">
        <v>10000</v>
      </c>
      <c r="K10" s="10"/>
      <c r="L10" s="11"/>
      <c r="M10" s="11">
        <f t="shared" si="0"/>
        <v>10000</v>
      </c>
    </row>
    <row r="11" spans="1:13" x14ac:dyDescent="0.4">
      <c r="A11" s="10">
        <v>11</v>
      </c>
      <c r="B11" s="10" t="s">
        <v>15</v>
      </c>
      <c r="C11" s="10" t="s">
        <v>15</v>
      </c>
      <c r="D11" s="10">
        <v>1</v>
      </c>
      <c r="E11" s="10"/>
      <c r="F11" s="10" t="s">
        <v>18</v>
      </c>
      <c r="G11" s="10"/>
      <c r="H11" s="10" t="s">
        <v>40</v>
      </c>
      <c r="I11" s="10"/>
      <c r="J11" s="11"/>
      <c r="K11" s="10"/>
      <c r="L11" s="11"/>
      <c r="M11" s="11">
        <f t="shared" si="0"/>
        <v>0</v>
      </c>
    </row>
    <row r="12" spans="1:13" x14ac:dyDescent="0.4">
      <c r="A12" s="1">
        <v>12</v>
      </c>
      <c r="B12" s="1" t="s">
        <v>90</v>
      </c>
      <c r="C12" s="1" t="s">
        <v>15</v>
      </c>
      <c r="D12" s="1">
        <v>1</v>
      </c>
      <c r="E12" s="1"/>
      <c r="F12" s="1" t="s">
        <v>20</v>
      </c>
      <c r="G12" s="1"/>
      <c r="H12" s="1"/>
      <c r="I12" s="1"/>
      <c r="J12" s="6"/>
      <c r="K12" s="9"/>
      <c r="L12" s="8"/>
      <c r="M12" s="8">
        <f t="shared" si="0"/>
        <v>0</v>
      </c>
    </row>
    <row r="13" spans="1:13" x14ac:dyDescent="0.4">
      <c r="A13" s="1">
        <v>13</v>
      </c>
      <c r="B13" s="1" t="s">
        <v>13</v>
      </c>
      <c r="C13" s="1" t="s">
        <v>15</v>
      </c>
      <c r="D13" s="1">
        <v>1</v>
      </c>
      <c r="E13" s="1"/>
      <c r="F13" s="1" t="s">
        <v>20</v>
      </c>
      <c r="G13" s="1"/>
      <c r="H13" s="1"/>
      <c r="I13" s="1" t="s">
        <v>120</v>
      </c>
      <c r="J13" s="6">
        <v>8000</v>
      </c>
      <c r="K13" s="1" t="s">
        <v>82</v>
      </c>
      <c r="L13" s="6">
        <v>13300</v>
      </c>
      <c r="M13" s="6">
        <f t="shared" si="0"/>
        <v>-5300</v>
      </c>
    </row>
    <row r="14" spans="1:13" x14ac:dyDescent="0.4">
      <c r="A14" s="1">
        <v>14</v>
      </c>
      <c r="B14" s="1" t="s">
        <v>9</v>
      </c>
      <c r="C14" s="1" t="s">
        <v>58</v>
      </c>
      <c r="D14" s="1">
        <v>1</v>
      </c>
      <c r="E14" s="1"/>
      <c r="F14" s="1" t="s">
        <v>18</v>
      </c>
      <c r="G14" s="1" t="s">
        <v>44</v>
      </c>
      <c r="H14" s="1"/>
      <c r="I14" s="1" t="s">
        <v>72</v>
      </c>
      <c r="J14" s="6">
        <v>18500</v>
      </c>
      <c r="K14" s="1" t="s">
        <v>87</v>
      </c>
      <c r="L14" s="6">
        <v>42900</v>
      </c>
      <c r="M14" s="6">
        <f t="shared" si="0"/>
        <v>-24400</v>
      </c>
    </row>
    <row r="15" spans="1:13" x14ac:dyDescent="0.4">
      <c r="A15" s="1">
        <v>15</v>
      </c>
      <c r="B15" s="1" t="s">
        <v>10</v>
      </c>
      <c r="C15" s="1" t="s">
        <v>58</v>
      </c>
      <c r="D15" s="1">
        <v>1</v>
      </c>
      <c r="E15" s="1"/>
      <c r="F15" s="1" t="s">
        <v>18</v>
      </c>
      <c r="G15" s="1" t="s">
        <v>44</v>
      </c>
      <c r="H15" s="1"/>
      <c r="I15" s="1" t="s">
        <v>73</v>
      </c>
      <c r="J15" s="6">
        <v>33000</v>
      </c>
      <c r="K15" s="1" t="s">
        <v>88</v>
      </c>
      <c r="L15" s="6">
        <v>42100</v>
      </c>
      <c r="M15" s="6">
        <f t="shared" si="0"/>
        <v>-9100</v>
      </c>
    </row>
    <row r="16" spans="1:13" x14ac:dyDescent="0.4">
      <c r="A16" s="1">
        <v>16</v>
      </c>
      <c r="B16" s="1" t="s">
        <v>11</v>
      </c>
      <c r="C16" s="1" t="s">
        <v>58</v>
      </c>
      <c r="D16" s="1">
        <v>6</v>
      </c>
      <c r="E16" s="1"/>
      <c r="F16" s="1" t="s">
        <v>18</v>
      </c>
      <c r="G16" s="1" t="s">
        <v>44</v>
      </c>
      <c r="H16" s="1"/>
      <c r="I16" s="1" t="s">
        <v>74</v>
      </c>
      <c r="J16" s="6">
        <v>32000</v>
      </c>
      <c r="K16" s="1" t="s">
        <v>89</v>
      </c>
      <c r="L16" s="6">
        <v>19000</v>
      </c>
      <c r="M16" s="6">
        <f t="shared" si="0"/>
        <v>13000</v>
      </c>
    </row>
    <row r="17" spans="1:13" x14ac:dyDescent="0.4">
      <c r="A17" s="1">
        <v>17</v>
      </c>
      <c r="B17" s="1" t="s">
        <v>63</v>
      </c>
      <c r="C17" s="1" t="s">
        <v>58</v>
      </c>
      <c r="D17" s="1">
        <v>1</v>
      </c>
      <c r="E17" s="1"/>
      <c r="F17" s="1" t="s">
        <v>18</v>
      </c>
      <c r="G17" s="1"/>
      <c r="H17" s="1"/>
      <c r="I17" s="1"/>
      <c r="J17" s="6">
        <v>12500</v>
      </c>
      <c r="K17" s="10"/>
      <c r="L17" s="11"/>
      <c r="M17" s="11">
        <f t="shared" si="0"/>
        <v>12500</v>
      </c>
    </row>
    <row r="18" spans="1:13" x14ac:dyDescent="0.4">
      <c r="A18" s="1">
        <v>18</v>
      </c>
      <c r="B18" s="1" t="s">
        <v>64</v>
      </c>
      <c r="C18" s="1" t="s">
        <v>58</v>
      </c>
      <c r="D18" s="1">
        <v>1</v>
      </c>
      <c r="E18" s="1"/>
      <c r="F18" s="1" t="s">
        <v>18</v>
      </c>
      <c r="G18" s="1"/>
      <c r="H18" s="1"/>
      <c r="I18" s="1"/>
      <c r="J18" s="6">
        <v>15000</v>
      </c>
      <c r="K18" s="10"/>
      <c r="L18" s="11"/>
      <c r="M18" s="11">
        <f t="shared" si="0"/>
        <v>15000</v>
      </c>
    </row>
    <row r="19" spans="1:13" x14ac:dyDescent="0.4">
      <c r="A19" s="1">
        <v>19</v>
      </c>
      <c r="B19" s="1" t="s">
        <v>67</v>
      </c>
      <c r="C19" s="1" t="s">
        <v>60</v>
      </c>
      <c r="D19" s="1">
        <v>1</v>
      </c>
      <c r="E19" s="1"/>
      <c r="F19" s="1" t="s">
        <v>18</v>
      </c>
      <c r="G19" s="1"/>
      <c r="H19" s="1"/>
      <c r="I19" s="1" t="s">
        <v>121</v>
      </c>
      <c r="J19" s="6">
        <v>16000</v>
      </c>
      <c r="K19" s="1"/>
      <c r="L19" s="6"/>
      <c r="M19" s="6">
        <f t="shared" si="0"/>
        <v>16000</v>
      </c>
    </row>
    <row r="20" spans="1:13" x14ac:dyDescent="0.4">
      <c r="A20" s="1">
        <v>20</v>
      </c>
      <c r="B20" s="1" t="s">
        <v>113</v>
      </c>
      <c r="C20" s="1" t="s">
        <v>60</v>
      </c>
      <c r="D20" s="1">
        <v>1</v>
      </c>
      <c r="E20" s="1"/>
      <c r="F20" s="1" t="s">
        <v>18</v>
      </c>
      <c r="G20" s="1"/>
      <c r="H20" s="1"/>
      <c r="I20" s="1"/>
      <c r="J20" s="6">
        <v>4500</v>
      </c>
      <c r="K20" s="1" t="s">
        <v>81</v>
      </c>
      <c r="L20" s="6">
        <v>113800</v>
      </c>
      <c r="M20" s="6">
        <f t="shared" si="0"/>
        <v>-109300</v>
      </c>
    </row>
    <row r="21" spans="1:13" x14ac:dyDescent="0.4">
      <c r="A21" s="1">
        <v>21</v>
      </c>
      <c r="B21" s="1" t="s">
        <v>24</v>
      </c>
      <c r="C21" s="1" t="s">
        <v>60</v>
      </c>
      <c r="D21" s="1">
        <v>1</v>
      </c>
      <c r="E21" s="1"/>
      <c r="F21" s="1" t="s">
        <v>18</v>
      </c>
      <c r="G21" s="1"/>
      <c r="H21" s="1"/>
      <c r="I21" s="10"/>
      <c r="J21" s="11"/>
      <c r="K21" s="1" t="s">
        <v>85</v>
      </c>
      <c r="L21" s="6">
        <v>2500</v>
      </c>
      <c r="M21" s="6">
        <f t="shared" si="0"/>
        <v>-2500</v>
      </c>
    </row>
    <row r="22" spans="1:13" x14ac:dyDescent="0.4">
      <c r="A22" s="1">
        <v>22</v>
      </c>
      <c r="B22" s="2" t="s">
        <v>26</v>
      </c>
      <c r="C22" s="2" t="s">
        <v>61</v>
      </c>
      <c r="D22" s="1">
        <v>1</v>
      </c>
      <c r="E22" s="1"/>
      <c r="F22" s="1" t="s">
        <v>18</v>
      </c>
      <c r="G22" s="1"/>
      <c r="H22" s="1"/>
      <c r="I22" s="1" t="s">
        <v>68</v>
      </c>
      <c r="J22" s="6">
        <v>16000</v>
      </c>
      <c r="K22" s="9"/>
      <c r="L22" s="8"/>
      <c r="M22" s="8">
        <f t="shared" si="0"/>
        <v>16000</v>
      </c>
    </row>
    <row r="23" spans="1:13" x14ac:dyDescent="0.4">
      <c r="A23" s="1">
        <v>23</v>
      </c>
      <c r="B23" s="1" t="s">
        <v>21</v>
      </c>
      <c r="C23" s="1" t="s">
        <v>60</v>
      </c>
      <c r="D23" s="1">
        <v>1</v>
      </c>
      <c r="E23" s="1"/>
      <c r="F23" s="1" t="s">
        <v>18</v>
      </c>
      <c r="G23" s="1"/>
      <c r="H23" s="1"/>
      <c r="I23" s="1"/>
      <c r="J23" s="6"/>
      <c r="K23" s="1"/>
      <c r="L23" s="6">
        <f>35000+55000+9000</f>
        <v>99000</v>
      </c>
      <c r="M23" s="6">
        <f t="shared" si="0"/>
        <v>-99000</v>
      </c>
    </row>
    <row r="24" spans="1:13" s="4" customFormat="1" x14ac:dyDescent="0.4">
      <c r="A24" s="3"/>
      <c r="B24" s="3" t="s">
        <v>32</v>
      </c>
      <c r="C24" s="3"/>
      <c r="D24" s="3"/>
      <c r="E24" s="3"/>
      <c r="F24" s="3"/>
      <c r="G24" s="3"/>
      <c r="H24" s="3"/>
      <c r="I24" s="3"/>
      <c r="J24" s="5">
        <f>SUM(J2:J23)</f>
        <v>235400</v>
      </c>
      <c r="K24" s="3"/>
      <c r="L24" s="5">
        <f>SUM(L2:L23)</f>
        <v>345900</v>
      </c>
      <c r="M24" s="5">
        <f t="shared" si="0"/>
        <v>-110500</v>
      </c>
    </row>
    <row r="25" spans="1:13" x14ac:dyDescent="0.4">
      <c r="A25" s="1"/>
      <c r="B25" s="1" t="s">
        <v>3</v>
      </c>
      <c r="C25" s="1"/>
      <c r="D25" s="1"/>
      <c r="E25" s="1" t="s">
        <v>46</v>
      </c>
      <c r="F25" s="1"/>
      <c r="G25" s="1"/>
      <c r="H25" s="1"/>
      <c r="I25" s="1"/>
      <c r="J25" s="6"/>
      <c r="K25" s="1"/>
      <c r="L25" s="6"/>
      <c r="M25" s="6"/>
    </row>
  </sheetData>
  <phoneticPr fontId="1" type="noConversion"/>
  <pageMargins left="0.25" right="0.25" top="0.75" bottom="0.75" header="0.3" footer="0.3"/>
  <pageSetup paperSize="8" scale="71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tabSelected="1" zoomScale="85" zoomScaleNormal="85" workbookViewId="0">
      <selection activeCell="N23" sqref="A1:N23"/>
    </sheetView>
  </sheetViews>
  <sheetFormatPr defaultRowHeight="17" x14ac:dyDescent="0.4"/>
  <cols>
    <col min="1" max="1" width="5.81640625" bestFit="1" customWidth="1"/>
    <col min="2" max="2" width="44.7265625" bestFit="1" customWidth="1"/>
    <col min="3" max="3" width="10.1796875" bestFit="1" customWidth="1"/>
    <col min="4" max="4" width="23.7265625" bestFit="1" customWidth="1"/>
    <col min="5" max="5" width="17.26953125" bestFit="1" customWidth="1"/>
    <col min="6" max="6" width="14.90625" bestFit="1" customWidth="1"/>
    <col min="7" max="7" width="22" bestFit="1" customWidth="1"/>
    <col min="8" max="8" width="16.54296875" bestFit="1" customWidth="1"/>
    <col min="9" max="9" width="18.54296875" style="7" bestFit="1" customWidth="1"/>
    <col min="10" max="10" width="35.54296875" bestFit="1" customWidth="1"/>
    <col min="11" max="11" width="16.36328125" bestFit="1" customWidth="1"/>
    <col min="12" max="12" width="18.36328125" style="7" bestFit="1" customWidth="1"/>
    <col min="13" max="13" width="11.54296875" style="7" bestFit="1" customWidth="1"/>
    <col min="14" max="14" width="11.81640625" customWidth="1"/>
    <col min="15" max="15" width="10.90625" bestFit="1" customWidth="1"/>
  </cols>
  <sheetData>
    <row r="1" spans="1:15" s="4" customFormat="1" x14ac:dyDescent="0.4">
      <c r="A1" s="3" t="s">
        <v>39</v>
      </c>
      <c r="B1" s="3" t="s">
        <v>0</v>
      </c>
      <c r="C1" s="3" t="s">
        <v>55</v>
      </c>
      <c r="D1" s="3" t="s">
        <v>16</v>
      </c>
      <c r="E1" s="3" t="s">
        <v>49</v>
      </c>
      <c r="F1" s="3" t="s">
        <v>43</v>
      </c>
      <c r="G1" s="3" t="s">
        <v>27</v>
      </c>
      <c r="H1" s="3" t="s">
        <v>122</v>
      </c>
      <c r="I1" s="5" t="s">
        <v>29</v>
      </c>
      <c r="J1" s="3" t="s">
        <v>28</v>
      </c>
      <c r="K1" s="3" t="s">
        <v>123</v>
      </c>
      <c r="L1" s="5" t="s">
        <v>30</v>
      </c>
      <c r="M1" s="5" t="s">
        <v>112</v>
      </c>
    </row>
    <row r="2" spans="1:15" x14ac:dyDescent="0.4">
      <c r="A2" s="10"/>
      <c r="B2" s="10" t="s">
        <v>1</v>
      </c>
      <c r="C2" s="10" t="s">
        <v>56</v>
      </c>
      <c r="D2" s="10"/>
      <c r="E2" s="10" t="s">
        <v>18</v>
      </c>
      <c r="F2" s="10"/>
      <c r="G2" s="10"/>
      <c r="H2" s="10"/>
      <c r="I2" s="11"/>
      <c r="J2" s="10"/>
      <c r="K2" s="10"/>
      <c r="L2" s="11"/>
      <c r="M2" s="11">
        <f>I2-L2</f>
        <v>0</v>
      </c>
      <c r="N2" s="11"/>
    </row>
    <row r="3" spans="1:15" x14ac:dyDescent="0.4">
      <c r="A3" s="10"/>
      <c r="B3" s="10" t="s">
        <v>15</v>
      </c>
      <c r="C3" s="10" t="s">
        <v>15</v>
      </c>
      <c r="D3" s="10"/>
      <c r="E3" s="10" t="s">
        <v>18</v>
      </c>
      <c r="F3" s="10"/>
      <c r="G3" s="10"/>
      <c r="H3" s="10"/>
      <c r="I3" s="11"/>
      <c r="J3" s="10"/>
      <c r="K3" s="10"/>
      <c r="L3" s="11"/>
      <c r="M3" s="11">
        <f t="shared" ref="M3:M22" si="0">I3-L3</f>
        <v>0</v>
      </c>
      <c r="N3" s="11"/>
    </row>
    <row r="4" spans="1:15" x14ac:dyDescent="0.4">
      <c r="A4" s="1">
        <v>1</v>
      </c>
      <c r="B4" s="1" t="s">
        <v>124</v>
      </c>
      <c r="C4" s="1" t="s">
        <v>60</v>
      </c>
      <c r="D4" s="1"/>
      <c r="E4" s="1"/>
      <c r="F4" s="1"/>
      <c r="G4" s="18"/>
      <c r="H4" s="18"/>
      <c r="I4" s="19">
        <v>10000</v>
      </c>
      <c r="J4" s="18"/>
      <c r="K4" s="18"/>
      <c r="L4" s="19">
        <v>15000</v>
      </c>
      <c r="M4" s="19">
        <f t="shared" si="0"/>
        <v>-5000</v>
      </c>
      <c r="N4" s="19">
        <v>12500</v>
      </c>
      <c r="O4" s="20"/>
    </row>
    <row r="5" spans="1:15" x14ac:dyDescent="0.4">
      <c r="A5" s="1">
        <v>2</v>
      </c>
      <c r="B5" s="1" t="s">
        <v>36</v>
      </c>
      <c r="C5" s="1" t="s">
        <v>56</v>
      </c>
      <c r="D5" s="1"/>
      <c r="E5" s="1" t="s">
        <v>17</v>
      </c>
      <c r="F5" s="1" t="s">
        <v>44</v>
      </c>
      <c r="G5" s="18" t="s">
        <v>118</v>
      </c>
      <c r="H5" s="18">
        <v>1</v>
      </c>
      <c r="I5" s="19">
        <v>40900</v>
      </c>
      <c r="J5" s="18" t="s">
        <v>127</v>
      </c>
      <c r="K5" s="18">
        <v>1</v>
      </c>
      <c r="L5" s="19">
        <v>47600</v>
      </c>
      <c r="M5" s="19">
        <f t="shared" si="0"/>
        <v>-6700</v>
      </c>
      <c r="N5" s="19">
        <v>40900</v>
      </c>
      <c r="O5" s="20"/>
    </row>
    <row r="6" spans="1:15" x14ac:dyDescent="0.4">
      <c r="A6" s="1">
        <v>3</v>
      </c>
      <c r="B6" s="13" t="s">
        <v>125</v>
      </c>
      <c r="C6" s="1" t="s">
        <v>56</v>
      </c>
      <c r="D6" s="1"/>
      <c r="E6" s="1" t="s">
        <v>17</v>
      </c>
      <c r="F6" s="1" t="s">
        <v>44</v>
      </c>
      <c r="G6" s="18" t="s">
        <v>126</v>
      </c>
      <c r="H6" s="18">
        <v>1</v>
      </c>
      <c r="I6" s="19">
        <v>33900</v>
      </c>
      <c r="J6" s="18" t="s">
        <v>126</v>
      </c>
      <c r="K6" s="18">
        <v>1</v>
      </c>
      <c r="L6" s="19">
        <v>33900</v>
      </c>
      <c r="M6" s="19">
        <f>I6-N6</f>
        <v>0</v>
      </c>
      <c r="N6" s="19">
        <v>33900</v>
      </c>
      <c r="O6" s="19">
        <v>47000</v>
      </c>
    </row>
    <row r="7" spans="1:15" x14ac:dyDescent="0.4">
      <c r="A7" s="1">
        <v>4</v>
      </c>
      <c r="B7" s="1" t="s">
        <v>92</v>
      </c>
      <c r="C7" s="1" t="s">
        <v>56</v>
      </c>
      <c r="D7" s="1"/>
      <c r="E7" s="1" t="s">
        <v>17</v>
      </c>
      <c r="F7" s="1" t="s">
        <v>44</v>
      </c>
      <c r="G7" s="18" t="s">
        <v>119</v>
      </c>
      <c r="H7" s="18">
        <v>2</v>
      </c>
      <c r="I7" s="19">
        <v>10000</v>
      </c>
      <c r="J7" s="18" t="s">
        <v>128</v>
      </c>
      <c r="K7" s="18">
        <v>2</v>
      </c>
      <c r="L7" s="19">
        <v>24800</v>
      </c>
      <c r="M7" s="19">
        <f t="shared" si="0"/>
        <v>-14800</v>
      </c>
      <c r="N7" s="19">
        <f>(I7+L7)/2</f>
        <v>17400</v>
      </c>
      <c r="O7" s="20"/>
    </row>
    <row r="8" spans="1:15" x14ac:dyDescent="0.4">
      <c r="A8" s="1">
        <v>5</v>
      </c>
      <c r="B8" s="1" t="s">
        <v>41</v>
      </c>
      <c r="C8" s="1" t="s">
        <v>56</v>
      </c>
      <c r="D8" s="1"/>
      <c r="E8" s="1" t="s">
        <v>17</v>
      </c>
      <c r="F8" s="1"/>
      <c r="G8" s="18"/>
      <c r="H8" s="18"/>
      <c r="I8" s="19">
        <v>2500</v>
      </c>
      <c r="J8" s="18"/>
      <c r="K8" s="18"/>
      <c r="L8" s="19"/>
      <c r="M8" s="19">
        <f t="shared" si="0"/>
        <v>2500</v>
      </c>
      <c r="N8" s="19"/>
      <c r="O8" s="20"/>
    </row>
    <row r="9" spans="1:15" x14ac:dyDescent="0.4">
      <c r="A9" s="1">
        <v>6</v>
      </c>
      <c r="B9" s="9" t="s">
        <v>129</v>
      </c>
      <c r="C9" s="1"/>
      <c r="D9" s="1"/>
      <c r="E9" s="1"/>
      <c r="F9" s="1"/>
      <c r="G9" s="18"/>
      <c r="H9" s="18"/>
      <c r="I9" s="19"/>
      <c r="J9" s="18" t="s">
        <v>131</v>
      </c>
      <c r="K9" s="18">
        <v>1</v>
      </c>
      <c r="L9" s="19">
        <f>25100</f>
        <v>25100</v>
      </c>
      <c r="M9" s="19">
        <f t="shared" si="0"/>
        <v>-25100</v>
      </c>
      <c r="N9" s="19"/>
      <c r="O9" s="20"/>
    </row>
    <row r="10" spans="1:15" x14ac:dyDescent="0.4">
      <c r="A10" s="1">
        <v>7</v>
      </c>
      <c r="B10" s="9" t="s">
        <v>130</v>
      </c>
      <c r="C10" s="1"/>
      <c r="D10" s="1"/>
      <c r="E10" s="1"/>
      <c r="F10" s="1"/>
      <c r="G10" s="18"/>
      <c r="H10" s="18"/>
      <c r="I10" s="19"/>
      <c r="J10" s="18" t="s">
        <v>132</v>
      </c>
      <c r="K10" s="18">
        <v>1</v>
      </c>
      <c r="L10" s="19">
        <v>4500</v>
      </c>
      <c r="M10" s="19">
        <f t="shared" si="0"/>
        <v>-4500</v>
      </c>
      <c r="N10" s="19"/>
      <c r="O10" s="20"/>
    </row>
    <row r="11" spans="1:15" x14ac:dyDescent="0.4">
      <c r="A11" s="1">
        <v>8</v>
      </c>
      <c r="B11" s="1" t="s">
        <v>113</v>
      </c>
      <c r="C11" s="1" t="s">
        <v>60</v>
      </c>
      <c r="D11" s="1"/>
      <c r="E11" s="1" t="s">
        <v>18</v>
      </c>
      <c r="F11" s="1"/>
      <c r="G11" s="18" t="s">
        <v>120</v>
      </c>
      <c r="H11" s="18">
        <v>1</v>
      </c>
      <c r="I11" s="19">
        <v>4500</v>
      </c>
      <c r="J11" s="18" t="s">
        <v>134</v>
      </c>
      <c r="K11" s="18">
        <v>1</v>
      </c>
      <c r="L11" s="19">
        <v>5700</v>
      </c>
      <c r="M11" s="19">
        <f t="shared" si="0"/>
        <v>-1200</v>
      </c>
      <c r="N11" s="19">
        <v>5700</v>
      </c>
      <c r="O11" s="20"/>
    </row>
    <row r="12" spans="1:15" x14ac:dyDescent="0.4">
      <c r="A12" s="1">
        <v>9</v>
      </c>
      <c r="B12" s="9" t="s">
        <v>13</v>
      </c>
      <c r="C12" s="1" t="s">
        <v>15</v>
      </c>
      <c r="D12" s="1"/>
      <c r="E12" s="1" t="s">
        <v>20</v>
      </c>
      <c r="F12" s="1"/>
      <c r="G12" s="18" t="s">
        <v>121</v>
      </c>
      <c r="H12" s="18">
        <v>2</v>
      </c>
      <c r="I12" s="19">
        <v>16000</v>
      </c>
      <c r="J12" s="18" t="s">
        <v>135</v>
      </c>
      <c r="K12" s="18">
        <v>3</v>
      </c>
      <c r="L12" s="19">
        <f>15600*3</f>
        <v>46800</v>
      </c>
      <c r="M12" s="19">
        <f t="shared" si="0"/>
        <v>-30800</v>
      </c>
      <c r="N12" s="19">
        <f>15600*3</f>
        <v>46800</v>
      </c>
      <c r="O12" s="20"/>
    </row>
    <row r="13" spans="1:15" x14ac:dyDescent="0.4">
      <c r="A13" s="1">
        <v>10</v>
      </c>
      <c r="B13" s="9" t="s">
        <v>9</v>
      </c>
      <c r="C13" s="1" t="s">
        <v>58</v>
      </c>
      <c r="D13" s="1"/>
      <c r="E13" s="1" t="s">
        <v>18</v>
      </c>
      <c r="F13" s="1" t="s">
        <v>44</v>
      </c>
      <c r="G13" s="18" t="s">
        <v>72</v>
      </c>
      <c r="H13" s="18">
        <v>1</v>
      </c>
      <c r="I13" s="19">
        <v>18500</v>
      </c>
      <c r="J13" s="18" t="s">
        <v>87</v>
      </c>
      <c r="K13" s="18">
        <v>1</v>
      </c>
      <c r="L13" s="19">
        <v>45000</v>
      </c>
      <c r="M13" s="19">
        <f t="shared" si="0"/>
        <v>-26500</v>
      </c>
      <c r="N13" s="19">
        <v>45000</v>
      </c>
      <c r="O13" s="20"/>
    </row>
    <row r="14" spans="1:15" x14ac:dyDescent="0.4">
      <c r="A14" s="1">
        <v>11</v>
      </c>
      <c r="B14" s="1" t="s">
        <v>10</v>
      </c>
      <c r="C14" s="1" t="s">
        <v>58</v>
      </c>
      <c r="D14" s="1"/>
      <c r="E14" s="1" t="s">
        <v>18</v>
      </c>
      <c r="F14" s="1" t="s">
        <v>44</v>
      </c>
      <c r="G14" s="18" t="s">
        <v>73</v>
      </c>
      <c r="H14" s="18">
        <v>1</v>
      </c>
      <c r="I14" s="19">
        <v>33000</v>
      </c>
      <c r="J14" s="18" t="s">
        <v>88</v>
      </c>
      <c r="K14" s="18">
        <v>1</v>
      </c>
      <c r="L14" s="19">
        <v>42100</v>
      </c>
      <c r="M14" s="19">
        <f t="shared" si="0"/>
        <v>-9100</v>
      </c>
      <c r="N14" s="19">
        <v>42100</v>
      </c>
      <c r="O14" s="20"/>
    </row>
    <row r="15" spans="1:15" x14ac:dyDescent="0.4">
      <c r="A15" s="1">
        <v>12</v>
      </c>
      <c r="B15" s="1" t="s">
        <v>11</v>
      </c>
      <c r="C15" s="1" t="s">
        <v>58</v>
      </c>
      <c r="D15" s="1"/>
      <c r="E15" s="1" t="s">
        <v>18</v>
      </c>
      <c r="F15" s="1" t="s">
        <v>44</v>
      </c>
      <c r="G15" s="18" t="s">
        <v>74</v>
      </c>
      <c r="H15" s="18">
        <v>8</v>
      </c>
      <c r="I15" s="19">
        <v>32000</v>
      </c>
      <c r="J15" s="18" t="s">
        <v>89</v>
      </c>
      <c r="K15" s="18">
        <v>6</v>
      </c>
      <c r="L15" s="19">
        <v>20400</v>
      </c>
      <c r="M15" s="19">
        <f t="shared" si="0"/>
        <v>11600</v>
      </c>
      <c r="N15" s="19">
        <v>20400</v>
      </c>
      <c r="O15" s="20"/>
    </row>
    <row r="16" spans="1:15" x14ac:dyDescent="0.4">
      <c r="A16" s="1">
        <v>13</v>
      </c>
      <c r="B16" s="9" t="s">
        <v>63</v>
      </c>
      <c r="C16" s="1" t="s">
        <v>58</v>
      </c>
      <c r="D16" s="1"/>
      <c r="E16" s="1" t="s">
        <v>18</v>
      </c>
      <c r="F16" s="1"/>
      <c r="G16" s="18"/>
      <c r="H16" s="18"/>
      <c r="I16" s="19">
        <v>12500</v>
      </c>
      <c r="J16" s="18" t="s">
        <v>133</v>
      </c>
      <c r="K16" s="18"/>
      <c r="L16" s="19">
        <v>45000</v>
      </c>
      <c r="M16" s="19">
        <f t="shared" si="0"/>
        <v>-32500</v>
      </c>
      <c r="N16" s="19">
        <v>40000</v>
      </c>
      <c r="O16" s="20"/>
    </row>
    <row r="17" spans="1:15" x14ac:dyDescent="0.4">
      <c r="A17" s="1">
        <v>14</v>
      </c>
      <c r="B17" s="1" t="s">
        <v>67</v>
      </c>
      <c r="C17" s="1" t="s">
        <v>60</v>
      </c>
      <c r="D17" s="1"/>
      <c r="E17" s="1" t="s">
        <v>18</v>
      </c>
      <c r="F17" s="1"/>
      <c r="G17" s="18"/>
      <c r="H17" s="18">
        <v>1</v>
      </c>
      <c r="I17" s="19">
        <v>16000</v>
      </c>
      <c r="J17" s="18"/>
      <c r="K17" s="18"/>
      <c r="L17" s="19"/>
      <c r="M17" s="19">
        <f t="shared" si="0"/>
        <v>16000</v>
      </c>
      <c r="N17" s="19"/>
      <c r="O17" s="20"/>
    </row>
    <row r="18" spans="1:15" x14ac:dyDescent="0.4">
      <c r="A18" s="1">
        <v>15</v>
      </c>
      <c r="B18" s="1" t="s">
        <v>24</v>
      </c>
      <c r="C18" s="1" t="s">
        <v>60</v>
      </c>
      <c r="D18" s="1"/>
      <c r="E18" s="1" t="s">
        <v>18</v>
      </c>
      <c r="F18" s="1"/>
      <c r="G18" s="18"/>
      <c r="H18" s="18"/>
      <c r="I18" s="19"/>
      <c r="J18" s="18" t="s">
        <v>85</v>
      </c>
      <c r="K18" s="18"/>
      <c r="L18" s="19">
        <v>2500</v>
      </c>
      <c r="M18" s="19">
        <f t="shared" si="0"/>
        <v>-2500</v>
      </c>
      <c r="N18" s="19">
        <v>2500</v>
      </c>
      <c r="O18" s="20"/>
    </row>
    <row r="19" spans="1:15" x14ac:dyDescent="0.4">
      <c r="A19" s="1">
        <v>16</v>
      </c>
      <c r="B19" s="2" t="s">
        <v>26</v>
      </c>
      <c r="C19" s="2" t="s">
        <v>61</v>
      </c>
      <c r="D19" s="1"/>
      <c r="E19" s="1" t="s">
        <v>18</v>
      </c>
      <c r="F19" s="1"/>
      <c r="G19" s="18" t="s">
        <v>68</v>
      </c>
      <c r="H19" s="18">
        <v>1</v>
      </c>
      <c r="I19" s="19">
        <v>16000</v>
      </c>
      <c r="J19" s="18" t="s">
        <v>136</v>
      </c>
      <c r="K19" s="18">
        <v>1</v>
      </c>
      <c r="L19" s="19">
        <v>35000</v>
      </c>
      <c r="M19" s="19">
        <f t="shared" si="0"/>
        <v>-19000</v>
      </c>
      <c r="N19" s="19">
        <v>16000</v>
      </c>
      <c r="O19" s="20"/>
    </row>
    <row r="20" spans="1:15" x14ac:dyDescent="0.4">
      <c r="A20" s="1">
        <v>17</v>
      </c>
      <c r="B20" s="1" t="s">
        <v>21</v>
      </c>
      <c r="C20" s="1" t="s">
        <v>60</v>
      </c>
      <c r="D20" s="1"/>
      <c r="E20" s="1" t="s">
        <v>18</v>
      </c>
      <c r="F20" s="1"/>
      <c r="G20" s="18"/>
      <c r="H20" s="18"/>
      <c r="I20" s="19">
        <f>8500+15000+10000</f>
        <v>33500</v>
      </c>
      <c r="J20" s="18"/>
      <c r="K20" s="18"/>
      <c r="L20" s="19">
        <f>45000+6000</f>
        <v>51000</v>
      </c>
      <c r="M20" s="19">
        <f t="shared" si="0"/>
        <v>-17500</v>
      </c>
      <c r="N20" s="19">
        <v>48000</v>
      </c>
      <c r="O20" s="20"/>
    </row>
    <row r="21" spans="1:15" x14ac:dyDescent="0.4">
      <c r="A21" s="1">
        <v>18</v>
      </c>
      <c r="B21" s="13" t="s">
        <v>141</v>
      </c>
      <c r="C21" s="1" t="s">
        <v>15</v>
      </c>
      <c r="D21" s="1"/>
      <c r="E21" s="1" t="s">
        <v>17</v>
      </c>
      <c r="F21" s="1" t="s">
        <v>44</v>
      </c>
      <c r="G21" s="18" t="s">
        <v>140</v>
      </c>
      <c r="H21" s="18">
        <v>1</v>
      </c>
      <c r="I21" s="19">
        <v>65000</v>
      </c>
      <c r="J21" s="18" t="s">
        <v>140</v>
      </c>
      <c r="K21" s="18">
        <v>1</v>
      </c>
      <c r="L21" s="19">
        <v>65000</v>
      </c>
      <c r="M21" s="19">
        <f t="shared" si="0"/>
        <v>0</v>
      </c>
      <c r="N21" s="19">
        <v>65000</v>
      </c>
      <c r="O21" s="20"/>
    </row>
    <row r="22" spans="1:15" s="4" customFormat="1" x14ac:dyDescent="0.4">
      <c r="A22" s="3"/>
      <c r="B22" s="3" t="s">
        <v>32</v>
      </c>
      <c r="C22" s="3"/>
      <c r="D22" s="3"/>
      <c r="E22" s="3"/>
      <c r="F22" s="3"/>
      <c r="G22" s="3"/>
      <c r="H22" s="3"/>
      <c r="I22" s="5">
        <f>SUM(I2:I21)</f>
        <v>344300</v>
      </c>
      <c r="J22" s="3"/>
      <c r="K22" s="3"/>
      <c r="L22" s="5">
        <f>SUM(L2:L21)</f>
        <v>509400</v>
      </c>
      <c r="M22" s="5">
        <f t="shared" si="0"/>
        <v>-165100</v>
      </c>
      <c r="N22" s="5">
        <f>SUM(N2:N21)</f>
        <v>436200</v>
      </c>
    </row>
    <row r="23" spans="1:15" s="4" customFormat="1" x14ac:dyDescent="0.4">
      <c r="A23" s="3"/>
      <c r="B23" s="3" t="s">
        <v>142</v>
      </c>
      <c r="C23" s="3"/>
      <c r="D23" s="3"/>
      <c r="E23" s="3"/>
      <c r="F23" s="3"/>
      <c r="G23" s="3"/>
      <c r="H23" s="3"/>
      <c r="I23" s="5">
        <f>I22*1.05</f>
        <v>361515</v>
      </c>
      <c r="J23" s="3"/>
      <c r="K23" s="3"/>
      <c r="L23" s="5">
        <f>L22*1.05</f>
        <v>534870</v>
      </c>
      <c r="M23" s="5"/>
      <c r="N23" s="5">
        <f>N22*1.05</f>
        <v>458010</v>
      </c>
    </row>
    <row r="37" spans="1:2" x14ac:dyDescent="0.4">
      <c r="A37" s="14"/>
      <c r="B37" s="15" t="s">
        <v>137</v>
      </c>
    </row>
    <row r="38" spans="1:2" x14ac:dyDescent="0.4">
      <c r="A38" s="16"/>
      <c r="B38" s="15" t="s">
        <v>138</v>
      </c>
    </row>
    <row r="39" spans="1:2" x14ac:dyDescent="0.4">
      <c r="A39" s="17"/>
      <c r="B39" s="15" t="s">
        <v>139</v>
      </c>
    </row>
  </sheetData>
  <phoneticPr fontId="1" type="noConversion"/>
  <pageMargins left="0.25" right="0.25" top="0.75" bottom="0.75" header="0.3" footer="0.3"/>
  <pageSetup paperSize="9" scale="51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需求說明</vt:lpstr>
      <vt:lpstr>採購明細0423</vt:lpstr>
      <vt:lpstr>採購明細0426</vt:lpstr>
      <vt:lpstr>採購明細0510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簡孝竑(142476)</dc:creator>
  <cp:lastModifiedBy>簡孝竑(142476)</cp:lastModifiedBy>
  <cp:lastPrinted>2021-05-13T01:07:19Z</cp:lastPrinted>
  <dcterms:created xsi:type="dcterms:W3CDTF">2021-04-12T03:35:49Z</dcterms:created>
  <dcterms:modified xsi:type="dcterms:W3CDTF">2021-05-13T06:40:46Z</dcterms:modified>
</cp:coreProperties>
</file>